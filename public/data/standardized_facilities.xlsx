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DB\Data\"/>
    </mc:Choice>
  </mc:AlternateContent>
  <bookViews>
    <workbookView xWindow="0" yWindow="0" windowWidth="19200" windowHeight="7640" activeTab="1"/>
  </bookViews>
  <sheets>
    <sheet name="Cleaned_Data" sheetId="1" r:id="rId1"/>
    <sheet name="Sheet1" sheetId="2" r:id="rId2"/>
  </sheets>
  <definedNames>
    <definedName name="_xlnm._FilterDatabase" localSheetId="0" hidden="1">Cleaned_Data!$A$1:$Z$372</definedName>
  </definedNames>
  <calcPr calcId="162913"/>
</workbook>
</file>

<file path=xl/calcChain.xml><?xml version="1.0" encoding="utf-8"?>
<calcChain xmlns="http://schemas.openxmlformats.org/spreadsheetml/2006/main">
  <c r="H127" i="2" l="1"/>
  <c r="H23" i="2"/>
  <c r="H27" i="2"/>
  <c r="H39" i="2"/>
  <c r="H40" i="2"/>
  <c r="H57" i="2"/>
  <c r="H81" i="2"/>
  <c r="H89" i="2"/>
  <c r="H90" i="2"/>
  <c r="H94" i="2"/>
  <c r="H101" i="2"/>
  <c r="H102" i="2"/>
</calcChain>
</file>

<file path=xl/sharedStrings.xml><?xml version="1.0" encoding="utf-8"?>
<sst xmlns="http://schemas.openxmlformats.org/spreadsheetml/2006/main" count="10502" uniqueCount="3087">
  <si>
    <t>facility_name</t>
  </si>
  <si>
    <t>facility_type</t>
  </si>
  <si>
    <t>services_provided</t>
  </si>
  <si>
    <t>address</t>
  </si>
  <si>
    <t>division</t>
  </si>
  <si>
    <t>website</t>
  </si>
  <si>
    <t>email_address</t>
  </si>
  <si>
    <t>mobile_contact_number</t>
  </si>
  <si>
    <t>service_days</t>
  </si>
  <si>
    <t>visiting_hours</t>
  </si>
  <si>
    <t>cost</t>
  </si>
  <si>
    <t>category_adult_child_both</t>
  </si>
  <si>
    <t>appointment_required</t>
  </si>
  <si>
    <t>origin</t>
  </si>
  <si>
    <t>ownership</t>
  </si>
  <si>
    <t>latitude</t>
  </si>
  <si>
    <t>longitude</t>
  </si>
  <si>
    <t>DIV_NAME</t>
  </si>
  <si>
    <t>DIV_CODE</t>
  </si>
  <si>
    <t>DIS_NAME</t>
  </si>
  <si>
    <t>DIS_CODE</t>
  </si>
  <si>
    <t>facility_name_standardized</t>
  </si>
  <si>
    <t>Armed Forces Medical College (AFMC), Dhaka</t>
  </si>
  <si>
    <t>General Hospital</t>
  </si>
  <si>
    <t>Psychiatric Services</t>
  </si>
  <si>
    <t>Near Zia Colony MP Check Post, opposite Radisson Blue, beside Kurmitola General Hospital, Dhaka Cantonment, Dhaka 1206</t>
  </si>
  <si>
    <t>Dhaka</t>
  </si>
  <si>
    <t>https://afmc.edu.bd/</t>
  </si>
  <si>
    <t>psydept.afmc.bd@gmaii.com</t>
  </si>
  <si>
    <t>Sat,Sun,Mon,Tue,Wed,Thu</t>
  </si>
  <si>
    <t>08:30-14:30</t>
  </si>
  <si>
    <t>Free</t>
  </si>
  <si>
    <t>Adult Psychiatry</t>
  </si>
  <si>
    <t>No</t>
  </si>
  <si>
    <t>National</t>
  </si>
  <si>
    <t>Government</t>
  </si>
  <si>
    <t>23.8182036</t>
  </si>
  <si>
    <t>90.4078677</t>
  </si>
  <si>
    <t>BD30</t>
  </si>
  <si>
    <t>BD3026</t>
  </si>
  <si>
    <t>Kurmitola General Hospital, Dhaka</t>
  </si>
  <si>
    <t>New Airport Road, Kurmitola, Dhaka Cantonment</t>
  </si>
  <si>
    <t>kurmitoia500bed@hospi.dghs.gov.bd</t>
  </si>
  <si>
    <t>+880255062388, +8801958621817</t>
  </si>
  <si>
    <t>23.8191987</t>
  </si>
  <si>
    <t>90.4093822</t>
  </si>
  <si>
    <t>Mugda Medical College and Hospital Dhaka</t>
  </si>
  <si>
    <t>Hazi Kadam Ali Road, Mugdapara, Dhaka</t>
  </si>
  <si>
    <t>http://mumc.gov.bd/</t>
  </si>
  <si>
    <t>+8801553306518</t>
  </si>
  <si>
    <t>23.731981</t>
  </si>
  <si>
    <t>90.4301631</t>
  </si>
  <si>
    <t>One-stop Crisis Center (OCC), Dhaka Medical College and Hospital</t>
  </si>
  <si>
    <t>OCC</t>
  </si>
  <si>
    <t>Counseling and Psychotherapy for Trauma Survivors</t>
  </si>
  <si>
    <t>Secretariat Road, Dhaka 1000</t>
  </si>
  <si>
    <t>http://www.dmc.gov.bd</t>
  </si>
  <si>
    <t>occdmch@yahoo.com</t>
  </si>
  <si>
    <t>Trauma/OCC</t>
  </si>
  <si>
    <t>23.804093</t>
  </si>
  <si>
    <t>90.4152376</t>
  </si>
  <si>
    <t>Child Development Center, Dhaka Medical College and Hospital, Dhaka</t>
  </si>
  <si>
    <t>Child Development Centre</t>
  </si>
  <si>
    <t>Psychological Assessment and Mental Health Care Services for Children and Adolescents</t>
  </si>
  <si>
    <t>08:00-14:00</t>
  </si>
  <si>
    <t>Child &amp; Adolescent Mental Health</t>
  </si>
  <si>
    <t>23.72564</t>
  </si>
  <si>
    <t>90.3973998</t>
  </si>
  <si>
    <t>Child Development Center, Sir Salimullah Medical College, and Hospital, Dhaka</t>
  </si>
  <si>
    <t>Mitford Road, Dhaka 1206</t>
  </si>
  <si>
    <t>https://www.ssmcbd.net</t>
  </si>
  <si>
    <t>ssmc@ac.dghs.gov.bd</t>
  </si>
  <si>
    <t>23.7111967</t>
  </si>
  <si>
    <t>90.4012507</t>
  </si>
  <si>
    <t>Hazi Kadam Ali Road, Mugdapara, Mo tijheel, Dhaka</t>
  </si>
  <si>
    <t>Child Development Center, Mugda Medical College and Hospital, Dhaka</t>
  </si>
  <si>
    <t>Sher-e-BangIa Nagar, Dhaka-1207, Bangladesh.</t>
  </si>
  <si>
    <t>https://www.dsh.org.bd</t>
  </si>
  <si>
    <t>info@dsh.org.bd</t>
  </si>
  <si>
    <t>880-2-55059051-61</t>
  </si>
  <si>
    <t>23.7730993</t>
  </si>
  <si>
    <t>90.368684</t>
  </si>
  <si>
    <t>Child Development Center, Dhaka Shishu Hospital, Dhaka</t>
  </si>
  <si>
    <t>Gopalganj Sadar.</t>
  </si>
  <si>
    <t>sskmc@ac.dghs.gov.bd</t>
  </si>
  <si>
    <t>+8801762315491</t>
  </si>
  <si>
    <t>22.99348236</t>
  </si>
  <si>
    <t>89.820186</t>
  </si>
  <si>
    <t>Gopalganj</t>
  </si>
  <si>
    <t>BD3035</t>
  </si>
  <si>
    <t>Child Development Center, Sheikh Sayera Khatun Medical College, Gopalganj</t>
  </si>
  <si>
    <t>Child Development Center, Shaheed Tajuddin Ahmad Medical College and Hospital, Gazipur</t>
  </si>
  <si>
    <t>Joydebpur, Gazipur</t>
  </si>
  <si>
    <t>https://stamc.edu.bd</t>
  </si>
  <si>
    <t>stamc@ac.dghs.gov.bd</t>
  </si>
  <si>
    <t>+880249273251</t>
  </si>
  <si>
    <t>23.9922149</t>
  </si>
  <si>
    <t>90.4246302</t>
  </si>
  <si>
    <t>Gazipur</t>
  </si>
  <si>
    <t>BD3033</t>
  </si>
  <si>
    <t>Child Development Center, Sheikh Hasina Medical College Hospital Tangail</t>
  </si>
  <si>
    <t>Tangail</t>
  </si>
  <si>
    <t>https://shmct.gov.bd</t>
  </si>
  <si>
    <t>shmchtangail@hospi.dghs.gov.bd</t>
  </si>
  <si>
    <t>+88092162150</t>
  </si>
  <si>
    <t>24.2637439</t>
  </si>
  <si>
    <t>89.9242088</t>
  </si>
  <si>
    <t>BD3093</t>
  </si>
  <si>
    <t>Child Development Center, Bangabandhu Sheikh Mujib Medical College Hospital Faridpur</t>
  </si>
  <si>
    <t>West Khabaspur, Faridpur</t>
  </si>
  <si>
    <t>https://www.bsmmc.edu.bd</t>
  </si>
  <si>
    <t>cdc_fmch@yahoo.com</t>
  </si>
  <si>
    <t>+8801755584573, +88063167223</t>
  </si>
  <si>
    <t>23.5874255</t>
  </si>
  <si>
    <t>89.8377914</t>
  </si>
  <si>
    <t>Faridpur</t>
  </si>
  <si>
    <t>BD3029</t>
  </si>
  <si>
    <t>Psychiatric Service</t>
  </si>
  <si>
    <t>Counseling and Psychotherapy</t>
  </si>
  <si>
    <t>Matuail, Dhaka-1362.</t>
  </si>
  <si>
    <t>https://www.icmh.org.bd</t>
  </si>
  <si>
    <t>info@icmh.org.bd</t>
  </si>
  <si>
    <t>+88027542627</t>
  </si>
  <si>
    <t>23.6938068</t>
  </si>
  <si>
    <t>90.4664513</t>
  </si>
  <si>
    <t>Institute of Child and Mother Health (ICMH), Dhaka</t>
  </si>
  <si>
    <t>Neuro</t>
  </si>
  <si>
    <t>Neurodevelopmental Assessment and Mental Health Care Services for Children and Adolescents</t>
  </si>
  <si>
    <t>6th floor, Block-F, Bangabandhu Sheikh Mujib Medical University, Shahbag, Dhaka-1000, Bangladesh</t>
  </si>
  <si>
    <t>+88029663485</t>
  </si>
  <si>
    <t>23.7403594</t>
  </si>
  <si>
    <t>90.3934633</t>
  </si>
  <si>
    <t>Institute of Pediatric Neuro-disorder and Autism (IPNA) Dhaka</t>
  </si>
  <si>
    <t>National Trauma Counseling Center Dhaka</t>
  </si>
  <si>
    <t>Trauma Center</t>
  </si>
  <si>
    <t>Room No - 416, Department of Women Affairs Building, 37/3 Eskaton Garden Road, Dhaka-1000</t>
  </si>
  <si>
    <t>http://www.ntcc-mowca.gov.bd</t>
  </si>
  <si>
    <t>ntccbd@yahoo.com</t>
  </si>
  <si>
    <t>+8801713177175, +88028321825</t>
  </si>
  <si>
    <t>Sun,Mon,Tue,Wed,Thu</t>
  </si>
  <si>
    <t>call for appointment</t>
  </si>
  <si>
    <t>Yes</t>
  </si>
  <si>
    <t>23.7469089</t>
  </si>
  <si>
    <t>90.4020914</t>
  </si>
  <si>
    <t>Sher-E-BangIa Nagar, Agargaon, Dhaka-1207</t>
  </si>
  <si>
    <t>nins@hospi.dghs.gov.bd</t>
  </si>
  <si>
    <t>+88029102142, +8801711565995</t>
  </si>
  <si>
    <t>23.7761345</t>
  </si>
  <si>
    <t>90.3707896</t>
  </si>
  <si>
    <t>National Institute of Neurosciences and Hospital, Dhaka</t>
  </si>
  <si>
    <t>National Institute of Mental Health (NIMH), Dhaka</t>
  </si>
  <si>
    <t>Mental Health Institute</t>
  </si>
  <si>
    <t>Psychiatric Services, Counseling, and Psychotherapy</t>
  </si>
  <si>
    <t>Sher-E-BangIa Nagar, Dhaka 1207.</t>
  </si>
  <si>
    <t>https://nimh.gov.bd</t>
  </si>
  <si>
    <t>nimhr@hospi.dghs.gov.bd</t>
  </si>
  <si>
    <t>+880258153975</t>
  </si>
  <si>
    <t>08:00-14:30</t>
  </si>
  <si>
    <t>23.7723751</t>
  </si>
  <si>
    <t>90.3681961</t>
  </si>
  <si>
    <t>Bangabandhu Sheikh Mujib Medical University (BSMMU) Dhaka</t>
  </si>
  <si>
    <t>Shahbag, Dhaka -1000.</t>
  </si>
  <si>
    <t>https://bsmmu.edu.bd/</t>
  </si>
  <si>
    <t>+8801866637482</t>
  </si>
  <si>
    <t>23.7400025</t>
  </si>
  <si>
    <t>90.3965622</t>
  </si>
  <si>
    <t>Dhaka Medical College and Hospital Dhaka</t>
  </si>
  <si>
    <t>dmch@hospi.dghs.gov.bd</t>
  </si>
  <si>
    <t>+88029669340, +880255165088</t>
  </si>
  <si>
    <t>Sir Salimullah Medical College and Hospital, Dhaka</t>
  </si>
  <si>
    <t>+880257315076</t>
  </si>
  <si>
    <t>Shaheed Suhrawardy Medical College and Hospital, Dhaka</t>
  </si>
  <si>
    <t>Sher-E-BangIa Nagar, Dhaka-1207</t>
  </si>
  <si>
    <t>https://www.shsmc.gov.bd</t>
  </si>
  <si>
    <t>shsmc@ac.dghs.gov.bd</t>
  </si>
  <si>
    <t>+880248116011</t>
  </si>
  <si>
    <t>23.7692378</t>
  </si>
  <si>
    <t>90.371375</t>
  </si>
  <si>
    <t>Colonel Malek Medical College Manikganj</t>
  </si>
  <si>
    <t>Dighi, Manikganj</t>
  </si>
  <si>
    <t>https://cmmc.gov.bd</t>
  </si>
  <si>
    <t>colonelmalekmc@ac.dghs.gov.bd</t>
  </si>
  <si>
    <t>+8802223371242-7</t>
  </si>
  <si>
    <t>23.8868059</t>
  </si>
  <si>
    <t>89.9946</t>
  </si>
  <si>
    <t>Manikganj</t>
  </si>
  <si>
    <t>BD3056</t>
  </si>
  <si>
    <t>One Stop Crisis Center (OCC), Bangabandhu Sheikh Mujib Medical College Hospital Faridpur</t>
  </si>
  <si>
    <t>occ_fmch@yahoo.com</t>
  </si>
  <si>
    <t>23.6057352</t>
  </si>
  <si>
    <t>89.8386531</t>
  </si>
  <si>
    <t>Bangabandhu Sheikh Mujib Medical College (BSMMC) Faridpur</t>
  </si>
  <si>
    <t>West Khabaspur, Ward no-13, Faridpur Sadar, Faridpur Paurashava, Faridpur.</t>
  </si>
  <si>
    <t>https://bsmmc.edu.bd/</t>
  </si>
  <si>
    <t>contact@bsmmc.edu.bd</t>
  </si>
  <si>
    <t>0088063161744</t>
  </si>
  <si>
    <t>08:00-15:00</t>
  </si>
  <si>
    <t>Sheikh Sayera Khatun Medical College Gopalganj</t>
  </si>
  <si>
    <t>22.9933381</t>
  </si>
  <si>
    <t>89.8201569</t>
  </si>
  <si>
    <t>Shaheed Tajuddin Ahmad Medical College and Hospital Gazipur</t>
  </si>
  <si>
    <t>Sheikh Hasina Medical College Hospital, Tangail</t>
  </si>
  <si>
    <t>Nasirullah Psychotherapy Unit, Dept. of Clinical Psychology DU, Dhaka</t>
  </si>
  <si>
    <t>3rd floor, Arts Building, University of Dhaka</t>
  </si>
  <si>
    <t>https://www.npudu.org</t>
  </si>
  <si>
    <t>clipsy.npu.du@gmail.com</t>
  </si>
  <si>
    <t>+8801755654835</t>
  </si>
  <si>
    <t>09:00-16:00</t>
  </si>
  <si>
    <t>Department of Education and Counseling Psychology, University of Dhaka</t>
  </si>
  <si>
    <t>Counseling Services</t>
  </si>
  <si>
    <t>4th floor, Arts Building, University of Dhaka</t>
  </si>
  <si>
    <t>https://du.ac.bd/body/DECP</t>
  </si>
  <si>
    <t>russellimran@office.du.ac.bd</t>
  </si>
  <si>
    <t>+88 09666 911 463 (Ext. 7706), +8801967867933</t>
  </si>
  <si>
    <t>23.7339483</t>
  </si>
  <si>
    <t>90.3929252</t>
  </si>
  <si>
    <t>Psychological Assessment Clinic (PAC), Dhaka</t>
  </si>
  <si>
    <t>Psychological Assessment, Counseling, and Psychotherapy</t>
  </si>
  <si>
    <t>Dept. of Clinical Psychology, 4th floor, Arts Building, University of Dhaka</t>
  </si>
  <si>
    <t>https://du.ac.bd/body/contact/CPS</t>
  </si>
  <si>
    <t>pacdcpdu@gmail.com</t>
  </si>
  <si>
    <t>Brain Injury Clinic, Dhaka</t>
  </si>
  <si>
    <t>shossain_cp@du.ac.bd</t>
  </si>
  <si>
    <t>2nd Floor, T.S.C, University of Dhaka</t>
  </si>
  <si>
    <t>https://du.ac.bd/offices/OSC</t>
  </si>
  <si>
    <t>09666 911 463 (Ext.7706) 01911321608</t>
  </si>
  <si>
    <t>Student Guidance and Counseling Center, University of Dhaka</t>
  </si>
  <si>
    <t>T.S.C, Jahangirnagar University, Savar, Dhaka.</t>
  </si>
  <si>
    <t>https://www.juniv.edu</t>
  </si>
  <si>
    <t>7791045-51 Ext. 1235 (office)</t>
  </si>
  <si>
    <t>08:30-16:00</t>
  </si>
  <si>
    <t>23.884616</t>
  </si>
  <si>
    <t>90.26778</t>
  </si>
  <si>
    <t>Student Guidance and Counseling Center, Jahangirnagar University</t>
  </si>
  <si>
    <t>Psychotherapy Services for Acid Survivors</t>
  </si>
  <si>
    <t>House # 39, Road # 12, Block # Kha, Pisciculture Housing Society, Shekhertek, Dhaka — 1207</t>
  </si>
  <si>
    <t>asf@acidsurvivors.org</t>
  </si>
  <si>
    <t>+880 9678777148/49, Hotline: +88 01713010461</t>
  </si>
  <si>
    <t>Call for appointment</t>
  </si>
  <si>
    <t>Private</t>
  </si>
  <si>
    <t>23.7699436</t>
  </si>
  <si>
    <t>90.3547367</t>
  </si>
  <si>
    <t>Acid Survivofs Foundation (ASF) Dhaka</t>
  </si>
  <si>
    <t>2/16, Block - B, Lalmatia, Dhaka-1207</t>
  </si>
  <si>
    <t>https://www.askbd.org</t>
  </si>
  <si>
    <t>ask@citechco.net</t>
  </si>
  <si>
    <t>+8801714025069, +88028100192, 8100195</t>
  </si>
  <si>
    <t>09:00-17:00</t>
  </si>
  <si>
    <t>23.757317</t>
  </si>
  <si>
    <t>90.370722</t>
  </si>
  <si>
    <t>Ain O Salish Kendra (ASK), Dhaka</t>
  </si>
  <si>
    <t>House # 17, Road # 08, Dhanmondi, Dhaka -1205</t>
  </si>
  <si>
    <t>https://akmmch.com/</t>
  </si>
  <si>
    <t>info@akmmch.com</t>
  </si>
  <si>
    <t>58616074, 223361213, 223370295, 10652</t>
  </si>
  <si>
    <t>Sat,Sun,Mon,Tue,Wed,Thu,Fri</t>
  </si>
  <si>
    <t>on call appointment</t>
  </si>
  <si>
    <t>23.7451679</t>
  </si>
  <si>
    <t>90.3822133</t>
  </si>
  <si>
    <t>Anwar Khan Modern Medical College and Hospital, Dhaka</t>
  </si>
  <si>
    <t>Addiction Treatment and Rehabilitation, Psychiatric Services, Counseling, and Psychotherapy</t>
  </si>
  <si>
    <t>41, Siddheshwari Lane, Ramna, Dhaka</t>
  </si>
  <si>
    <t>https://athenaItdbd.com</t>
  </si>
  <si>
    <t>athenalimitedbd@gmail.com</t>
  </si>
  <si>
    <t>+8801711084203</t>
  </si>
  <si>
    <t>23.8808662</t>
  </si>
  <si>
    <t>90.388872</t>
  </si>
  <si>
    <t>Athena De-addiction Treatment and Counseling Center Dhaka</t>
  </si>
  <si>
    <t>Ashokti Punorbashon Nibash (APON), Dhaka</t>
  </si>
  <si>
    <t>19/1 Babor Road, Mohammadpur, Dhaka — 1207</t>
  </si>
  <si>
    <t>+88029126294</t>
  </si>
  <si>
    <t>23.7372647</t>
  </si>
  <si>
    <t>90.4115083</t>
  </si>
  <si>
    <t>Bangladesh Medical College (BMC) &amp; Hospital</t>
  </si>
  <si>
    <t>House # 34/35, Road # 14/A (New), Dhanmondi R/A, Dhaka- 1209</t>
  </si>
  <si>
    <t>https://bmc-bd.org</t>
  </si>
  <si>
    <t>bmcoffic.09@gmaiI.com; office09@bmc-bd.org</t>
  </si>
  <si>
    <t>+880-2-44812101-08</t>
  </si>
  <si>
    <t>23.7503982</t>
  </si>
  <si>
    <t>90.3698206</t>
  </si>
  <si>
    <t>BIRDEM General Hospital and Ibrahim Medical College Dhaka</t>
  </si>
  <si>
    <t>122 Kazi Nazrul Islam Avenue, Dhaka 1000</t>
  </si>
  <si>
    <t>https://www.birdembd.org</t>
  </si>
  <si>
    <t>+8801847259770, 0241060501 to 24</t>
  </si>
  <si>
    <t>17:00-19:00</t>
  </si>
  <si>
    <t>23.7384682</t>
  </si>
  <si>
    <t>90.3963835</t>
  </si>
  <si>
    <t>Suit # 6020, Shimanto Shambhar Shopping Complex (6th Floor), 15/A Kazi Nazrul Islam Avenue, Dhanmondi, Dhaka 1205</t>
  </si>
  <si>
    <t>https://bdpsychiatriccare.com</t>
  </si>
  <si>
    <t>contact@psychiatriccare.com.bd</t>
  </si>
  <si>
    <t>+8801872863002, +8809604604604</t>
  </si>
  <si>
    <t>23.7376009</t>
  </si>
  <si>
    <t>90.3773603</t>
  </si>
  <si>
    <t>Bangladesh Psychiatric Care Ltd. (BPCL) Dhaka</t>
  </si>
  <si>
    <t>Center for Mental Health and Care, Bangladesh (CMHC, B), Dhaka</t>
  </si>
  <si>
    <t>78/2 (2nd Floor), New Airport Road, Tejkunipara, Tejgaon, Dhaka-1215</t>
  </si>
  <si>
    <t>https://cmhcb.com</t>
  </si>
  <si>
    <t>cmhcbd2015@gmaii.com</t>
  </si>
  <si>
    <t>+8801974349569</t>
  </si>
  <si>
    <t>23.7619983</t>
  </si>
  <si>
    <t>90.3894185</t>
  </si>
  <si>
    <t>Community-health Rehabilitation Education and Awareness (CREA) Dhaka</t>
  </si>
  <si>
    <t>House-312, Road-2, Baitul Aman Housing Society, Adabor, Dhaka.</t>
  </si>
  <si>
    <t>https://creabd.org</t>
  </si>
  <si>
    <t>info@creabd.org</t>
  </si>
  <si>
    <t>+8801724979415</t>
  </si>
  <si>
    <t>23.7613756</t>
  </si>
  <si>
    <t>90.3714328</t>
  </si>
  <si>
    <t>Comfort Diagnostic Center, Dhaka</t>
  </si>
  <si>
    <t>House 167/B, Green Road, Dhaka</t>
  </si>
  <si>
    <t>https://www.comfortbd.com/</t>
  </si>
  <si>
    <t>info@comfortbd.com</t>
  </si>
  <si>
    <t>Hotline: 10673, +8801731956033, +8801552468377, +8802222246338</t>
  </si>
  <si>
    <t>23.7491851</t>
  </si>
  <si>
    <t>90.3862398</t>
  </si>
  <si>
    <t>House: 152, Block: Ka, Road: 06, PC Culture Housing</t>
  </si>
  <si>
    <t>http://dam-health.org/</t>
  </si>
  <si>
    <t>info@amic.org.bd</t>
  </si>
  <si>
    <t>+880258151114, +8801777753143, +8801748475523</t>
  </si>
  <si>
    <t>23.7521953</t>
  </si>
  <si>
    <t>90.3752488</t>
  </si>
  <si>
    <t>Dhaka Ahsania Mission (DAM)</t>
  </si>
  <si>
    <t>Dorpon, Dhaka</t>
  </si>
  <si>
    <t>Flat # 8/B, (Bashati Dream) Road # 20, House # 03, GuIshan-1, Dhaka and House # 43, Road # 10, Sector # 11, Uttara, Dhaka-1230</t>
  </si>
  <si>
    <t>dorpon.psy@gmaii.com</t>
  </si>
  <si>
    <t>01716-273455 (Gulshan), 01811-478940 (Uttara)</t>
  </si>
  <si>
    <t>23.7915914</t>
  </si>
  <si>
    <t>90.4120313</t>
  </si>
  <si>
    <t>Evercare Hospital Dhaka</t>
  </si>
  <si>
    <t>Plot # 81, Block E, Bashundhara R/A, Dhaka 1229</t>
  </si>
  <si>
    <t>+880255037242</t>
  </si>
  <si>
    <t>23.8103051</t>
  </si>
  <si>
    <t>90.4310146</t>
  </si>
  <si>
    <t>Savar, Dhaka.</t>
  </si>
  <si>
    <t>http://www.gonosvmc.edu.bd/</t>
  </si>
  <si>
    <t>info@gonosvmc.edu.bd</t>
  </si>
  <si>
    <t>+88027792224</t>
  </si>
  <si>
    <t>23.9181063</t>
  </si>
  <si>
    <t>90.2448847</t>
  </si>
  <si>
    <t>Gonoshasthaya Samaj Vittik Medical College and Hospital Dhaka</t>
  </si>
  <si>
    <t>MAK Khan Tower, 31 and 31/1, Bir Uttam K.M. Shafiullah Sarak (Green Road), Dhaka — 1205</t>
  </si>
  <si>
    <t>https://greenIife.edu.bd</t>
  </si>
  <si>
    <t>contact@green life.edu.bd</t>
  </si>
  <si>
    <t>+8802961234550</t>
  </si>
  <si>
    <t>evening and on call appointment</t>
  </si>
  <si>
    <t>23.7464872</t>
  </si>
  <si>
    <t>90.3858053</t>
  </si>
  <si>
    <t>Green Life Medical College and Hospital Ltd. Dhaka</t>
  </si>
  <si>
    <t>152/2/G Panthapath, Green Road, Dhaka-1205</t>
  </si>
  <si>
    <t>http://www.healthandhopebd.net/</t>
  </si>
  <si>
    <t>info@healthandhopebd.net</t>
  </si>
  <si>
    <t>+8801678131252, +8801611216232</t>
  </si>
  <si>
    <t>23.7516276</t>
  </si>
  <si>
    <t>90.3855763</t>
  </si>
  <si>
    <t>Health and Hope Hospital, Dhaka</t>
  </si>
  <si>
    <t>Healing Heart, Dhaka</t>
  </si>
  <si>
    <t>House 121, Road 6, Block-B, Bashundhara R/A, Dhaka-1229</t>
  </si>
  <si>
    <t>https://heaIingheartbd.org/</t>
  </si>
  <si>
    <t>healingheartbd@gmail.com</t>
  </si>
  <si>
    <t>+8801752074497</t>
  </si>
  <si>
    <t>Sat,Mon,Tue,Wed,Thu,Fri</t>
  </si>
  <si>
    <t>09:30-17:30</t>
  </si>
  <si>
    <t>23.8191459</t>
  </si>
  <si>
    <t>90.4526276</t>
  </si>
  <si>
    <t>Hi Tech, Modern Psychiatric Hospital (Pvt.) Ltd. Dhaka</t>
  </si>
  <si>
    <t>113/A, Monipuripara, Gate No 1, Farmgate, Tejgaon, Dhaka-1216.</t>
  </si>
  <si>
    <t>http://www.mentalhealthbd.org</t>
  </si>
  <si>
    <t>modernhospitai2014@gmaii.com</t>
  </si>
  <si>
    <t>+8801711662709, 02-9131958(office), +8801730333789</t>
  </si>
  <si>
    <t>23.7620361</t>
  </si>
  <si>
    <t>90.3876124</t>
  </si>
  <si>
    <t>Holy Family Red Crescent Medical College, Dhaka</t>
  </si>
  <si>
    <t>House #1, Eskaton Garden Road, Dhaka 1000</t>
  </si>
  <si>
    <t>http://www.hfrcmc.edu.bd</t>
  </si>
  <si>
    <t>info@hfrcmc.edu.bd</t>
  </si>
  <si>
    <t>+8802483117215</t>
  </si>
  <si>
    <t>23.7467019</t>
  </si>
  <si>
    <t>90.403107</t>
  </si>
  <si>
    <t>IBN Sina Medical Imaging Center</t>
  </si>
  <si>
    <t>House #58, Road 2#A Zigatola Bus Stand, Dhaka 1209</t>
  </si>
  <si>
    <t>https://www.ibnsinatrust.com</t>
  </si>
  <si>
    <t>info@ibnsinatrust.com</t>
  </si>
  <si>
    <t>+8809610009625</t>
  </si>
  <si>
    <t>23.7390466</t>
  </si>
  <si>
    <t>90.375902</t>
  </si>
  <si>
    <t>Ibn Sina Diagnostic and Consultation Center Dhanmondi, Dhaka</t>
  </si>
  <si>
    <t>House No. 48, Road No. 9/A, Satmasjid Road, Dhanmondi, Dhaka-1209</t>
  </si>
  <si>
    <t>23.7461495</t>
  </si>
  <si>
    <t>90.3742307</t>
  </si>
  <si>
    <t>Cha-72/1, Progoti Soroni, Uttar Badda, Dhaka-1212</t>
  </si>
  <si>
    <t>https://www.ibnsinatrust.com/</t>
  </si>
  <si>
    <t>01844022229 (Customer Service)</t>
  </si>
  <si>
    <t>23.8081944</t>
  </si>
  <si>
    <t>90.3576032</t>
  </si>
  <si>
    <t>Ibn Sina Diagnostic and Consultation Center Dhaka</t>
  </si>
  <si>
    <t>Inner Circle, Psychosocial Counseling Center, SAJIDA Foundation Dhaka</t>
  </si>
  <si>
    <t>Celebration Point, Plot 3 &amp; 5, Road 113/A, Gulshan 2, Dhaka</t>
  </si>
  <si>
    <t>https://sajidafoundation.org</t>
  </si>
  <si>
    <t>innercircle@sajidafoundation.org</t>
  </si>
  <si>
    <t>+8801777772215</t>
  </si>
  <si>
    <t>09:30-18:00</t>
  </si>
  <si>
    <t>23.7892086</t>
  </si>
  <si>
    <t>90.4195721</t>
  </si>
  <si>
    <t>Insight Psycho-social Care and Research Dhaka</t>
  </si>
  <si>
    <t>Psychiatric and Psychotherapy Services</t>
  </si>
  <si>
    <t>71/1, Pioneer Road, Segunbagicha (Opposite to NBR Office), Dhaka</t>
  </si>
  <si>
    <t>https://www.ipcrbd.com</t>
  </si>
  <si>
    <t>ipcrbd@gmail.com</t>
  </si>
  <si>
    <t>+880248321962, +8801322893344, +8801834623022</t>
  </si>
  <si>
    <t>23.7365614</t>
  </si>
  <si>
    <t>90.4081459</t>
  </si>
  <si>
    <t>Kaan Pete Roi</t>
  </si>
  <si>
    <t>Suicide and Emotional Support Helpline</t>
  </si>
  <si>
    <t>http://www.shuni.org</t>
  </si>
  <si>
    <t>info.shuni@gmaii.com</t>
  </si>
  <si>
    <t>+8801779554391, +8801779554392, +8801688709965</t>
  </si>
  <si>
    <t>15:00-21:00</t>
  </si>
  <si>
    <t>23.7326</t>
  </si>
  <si>
    <t>90.3697</t>
  </si>
  <si>
    <t>House 1, Road 4, Dhanmondi, Dhaka 1205</t>
  </si>
  <si>
    <t>https://www.Iabaidgroup.com</t>
  </si>
  <si>
    <t>info@labaidgroup.com</t>
  </si>
  <si>
    <t>58610793-8, 9670210-3, 8631177, For Serial: 10606</t>
  </si>
  <si>
    <t>23.7989571</t>
  </si>
  <si>
    <t>90.3541062</t>
  </si>
  <si>
    <t>LABAID Ltd. (DIAGNOSTIC) Annex Dhaka</t>
  </si>
  <si>
    <t>Lab Aid Ltd., Faridpur</t>
  </si>
  <si>
    <t>Faridpur Tower, House-5/1, Main Road, Mujib Sharak, Nilltoly, Faridpur-7800</t>
  </si>
  <si>
    <t>10606, +8801766663100</t>
  </si>
  <si>
    <t>23.5936075</t>
  </si>
  <si>
    <t>89.8200611</t>
  </si>
  <si>
    <t>Lab Aid, Gulshan</t>
  </si>
  <si>
    <t>House # 13/A, Road # 35, Gulshan-2, Dhaka-1212</t>
  </si>
  <si>
    <t>+8801766660129, +88 8835981-4, 9858943</t>
  </si>
  <si>
    <t>23.7941328</t>
  </si>
  <si>
    <t>90.4128678</t>
  </si>
  <si>
    <t>Lab Aid, Mirpur Dhaka</t>
  </si>
  <si>
    <t>Plot # 9, Block-B, Section -1, Mirpur, Dhaka-1216</t>
  </si>
  <si>
    <t>+88029858088, 9854403, 01947400400.</t>
  </si>
  <si>
    <t>Lab Aid, Uttara</t>
  </si>
  <si>
    <t>House # 15, Road # 12, Sector # 6, Uttara, Dhaka.</t>
  </si>
  <si>
    <t>+8809610010615</t>
  </si>
  <si>
    <t>23.8710017</t>
  </si>
  <si>
    <t>90.3906414</t>
  </si>
  <si>
    <t>Life and Light Hospital, Dhaka</t>
  </si>
  <si>
    <t>Orchid Plaza-2, 109 Green Road, Farmgate Dhaka</t>
  </si>
  <si>
    <t>fokruihossain2001@gmaii.com</t>
  </si>
  <si>
    <t>+880258150414, +8801742544000 +8801713031449</t>
  </si>
  <si>
    <t>23.7560815</t>
  </si>
  <si>
    <t>90.3892727</t>
  </si>
  <si>
    <t>Life Spring, Dhaka</t>
  </si>
  <si>
    <t>House # 55/2, Union Heights, Level # 6 &amp; 14, West Panthapath, Dhaka-1205</t>
  </si>
  <si>
    <t>contact@lifespringint.com</t>
  </si>
  <si>
    <t>+8809638505505, +8801763438148</t>
  </si>
  <si>
    <t>23.7527771</t>
  </si>
  <si>
    <t>90.3811986</t>
  </si>
  <si>
    <t>Medinova Diagnostic Center, Dhaka</t>
  </si>
  <si>
    <t>House 71/A, Road 5/A, Dhanmondi R/A, Dhaka</t>
  </si>
  <si>
    <t>info@medinovamedicalbd.com</t>
  </si>
  <si>
    <t>23.6050252</t>
  </si>
  <si>
    <t>89.8366574</t>
  </si>
  <si>
    <t>Monochikitshaloy Dhaka</t>
  </si>
  <si>
    <t>B-37, Block E, Zakir Hossain Road, Dhaka</t>
  </si>
  <si>
    <t>monochikitshaloy@gmail.com</t>
  </si>
  <si>
    <t>+8801873333393</t>
  </si>
  <si>
    <t>23.758217</t>
  </si>
  <si>
    <t>90.367002</t>
  </si>
  <si>
    <t>Monorog Clinic Dhaka</t>
  </si>
  <si>
    <t>House-13, Road-1, Block-A, Section-11, Mirpur, Dhaka</t>
  </si>
  <si>
    <t>tariquiisiam75@ymaii.com.</t>
  </si>
  <si>
    <t>+8801841448888, +88029016371</t>
  </si>
  <si>
    <t>23.8152747</t>
  </si>
  <si>
    <t>90.3679055</t>
  </si>
  <si>
    <t>Monojagot Center Dhaka</t>
  </si>
  <si>
    <t>Road-4, House-5, (2nd flood), Dhanmondi, Dhaka</t>
  </si>
  <si>
    <t>monojagotcentre1986@gmaii.com</t>
  </si>
  <si>
    <t>+88029662475, 8613786, +8801715178888, +8801819240000</t>
  </si>
  <si>
    <t>Sat,Sun,Mon,Wed,Thu,Fri</t>
  </si>
  <si>
    <t>08:00-21:00</t>
  </si>
  <si>
    <t>23.7551571</t>
  </si>
  <si>
    <t>90.3763435</t>
  </si>
  <si>
    <t>Monobikash Foundation, Dhaka</t>
  </si>
  <si>
    <t>Psychotherapy Services</t>
  </si>
  <si>
    <t>Room-36-39, Green Super Market, Green Road, Dhaka</t>
  </si>
  <si>
    <t>monobikash.bd@gmaii.com</t>
  </si>
  <si>
    <t>+8801837733100</t>
  </si>
  <si>
    <t>23.7537658</t>
  </si>
  <si>
    <t>90.3882118</t>
  </si>
  <si>
    <t>Mon Niye, Dhaka</t>
  </si>
  <si>
    <t>House-9/2, Shyamoli Garden Street, Shyamoli Ring Road, Dhaka-1207</t>
  </si>
  <si>
    <t>info@iwellbeing.org</t>
  </si>
  <si>
    <t>+8801680134827</t>
  </si>
  <si>
    <t>Moshal Foundation Dhaka</t>
  </si>
  <si>
    <t>House-12, Road-12, Sector-4, Uttara, Dhaka-1230</t>
  </si>
  <si>
    <t>foundationmoshal@gmail.com; moshalclientrelations@gmail.com</t>
  </si>
  <si>
    <t>+8801797198037</t>
  </si>
  <si>
    <t>23.8647724</t>
  </si>
  <si>
    <t>90.3886903</t>
  </si>
  <si>
    <t>New Mukti Clinic Dhaka</t>
  </si>
  <si>
    <t>Drug Addiction and Psychiatric Treatment</t>
  </si>
  <si>
    <t>AK Complex, floor 7, 19, Green Road, Dhaka.</t>
  </si>
  <si>
    <t>newmukticlinic@gmail.com</t>
  </si>
  <si>
    <t>+8801711200720</t>
  </si>
  <si>
    <t>23.744807</t>
  </si>
  <si>
    <t>90.385029</t>
  </si>
  <si>
    <t>245/2, New Circular Road, Malibagh, Dhaka</t>
  </si>
  <si>
    <t>info@padma-bd.com</t>
  </si>
  <si>
    <t>+8809611113355</t>
  </si>
  <si>
    <t>23.7450952</t>
  </si>
  <si>
    <t>90.4133485</t>
  </si>
  <si>
    <t>Padma Diagnostic Center Ltd. Dhaka</t>
  </si>
  <si>
    <t>NI Health, Dhaka</t>
  </si>
  <si>
    <t>Psychiatric Consultation, Individual Sessions, and Mental Health Assessment</t>
  </si>
  <si>
    <t>TMC building, 52, Eskaton Road, Bangla Motor, Dhaka - 1000</t>
  </si>
  <si>
    <t>+8809613106010</t>
  </si>
  <si>
    <t>Mon,Tue,Wed,Thu,Fri,Sat</t>
  </si>
  <si>
    <t>11:00-19:00</t>
  </si>
  <si>
    <t>23.7467199</t>
  </si>
  <si>
    <t>90.3966404</t>
  </si>
  <si>
    <t>Moner Bondhu, Dhaka</t>
  </si>
  <si>
    <t>8th Floor, 2/16, Block B, Lalmatia (Ain o Shalish Kendra Building), Dhaka, Bangladesh</t>
  </si>
  <si>
    <t>monerbondhu16@gmaii.com</t>
  </si>
  <si>
    <t>+8801776632344</t>
  </si>
  <si>
    <t>09:00-20:00</t>
  </si>
  <si>
    <t>23.7573455</t>
  </si>
  <si>
    <t>90.3707885</t>
  </si>
  <si>
    <t>Popular Diagnostic Center, Dhaka</t>
  </si>
  <si>
    <t>New Launch Terminal Road, Kauriapara, Narsingdi</t>
  </si>
  <si>
    <t>+8801725909061, +88029462020</t>
  </si>
  <si>
    <t>23.7411436</t>
  </si>
  <si>
    <t>90.4123524</t>
  </si>
  <si>
    <t>Plot-13, Road-5, Block-J, Baridhara, Dhaka-1212</t>
  </si>
  <si>
    <t>+88029858088, +88029854403, +8801947400400</t>
  </si>
  <si>
    <t>23.8003485</t>
  </si>
  <si>
    <t>90.4245409</t>
  </si>
  <si>
    <t>Prottoy Medical Center Dhaka</t>
  </si>
  <si>
    <t>Prescription Point</t>
  </si>
  <si>
    <t>House-105, Road-12, Block-E, Banani, Dhaka, Bangladesh</t>
  </si>
  <si>
    <t>info@ppointbd.com</t>
  </si>
  <si>
    <t>+8801713333234</t>
  </si>
  <si>
    <t>09:00-22:00</t>
  </si>
  <si>
    <t>23.7911605</t>
  </si>
  <si>
    <t>90.4082525</t>
  </si>
  <si>
    <t>Plot-4/D, Road 73, Gulshan-2, Dhaka</t>
  </si>
  <si>
    <t>reception@phwcbd.org</t>
  </si>
  <si>
    <t>+8801777772764</t>
  </si>
  <si>
    <t>09:00-19:00</t>
  </si>
  <si>
    <t>23.8046449</t>
  </si>
  <si>
    <t>90.4126206</t>
  </si>
  <si>
    <t>Psychological Health and Wellness Clinic (PHWC), Dhaka</t>
  </si>
  <si>
    <t>Sandhani Diagnostic Complex, Dhaka</t>
  </si>
  <si>
    <t>Green Super Market (3rd Floor), Farmgate, Dhaka</t>
  </si>
  <si>
    <t>+88029126670, +8801675494919</t>
  </si>
  <si>
    <t>17:00-21:00</t>
  </si>
  <si>
    <t>Fattah Plaza, 70, Green Road, Panthapath Mor, Dhaka</t>
  </si>
  <si>
    <t>sibl.hospital@sibl-bd.</t>
  </si>
  <si>
    <t>+8801991150900, +8801958339339</t>
  </si>
  <si>
    <t>23.7506738</t>
  </si>
  <si>
    <t>90.3871236</t>
  </si>
  <si>
    <t>SIBL Foundation Hospital and Diagnostic Center, Dhaka</t>
  </si>
  <si>
    <t>Square Hospital Dhaka</t>
  </si>
  <si>
    <t>18/F, Bir Uttam Qazi Nuruzzaman Sarak, West Panthapath, Dhaka</t>
  </si>
  <si>
    <t>info@squarehospital.com</t>
  </si>
  <si>
    <t>Hotline 10616</t>
  </si>
  <si>
    <t>23.7528438</t>
  </si>
  <si>
    <t>90.3815598</t>
  </si>
  <si>
    <t>Tangail Clinic and Hospital, Tangail</t>
  </si>
  <si>
    <t>Kumudini College Gate, Mymensingh Road, Tangail</t>
  </si>
  <si>
    <t>tangailclinicandhospital@gmail.com</t>
  </si>
  <si>
    <t>+8801711238622, +8801611238622, +88092161020</t>
  </si>
  <si>
    <t>24.2566408</t>
  </si>
  <si>
    <t>89.9219799</t>
  </si>
  <si>
    <t>3D, Rupayan Trade Center, 114 Kazi Nazrul Islam Avenue, Bangla Motor, Dhaka-1205</t>
  </si>
  <si>
    <t>info@trin.healthcare</t>
  </si>
  <si>
    <t>+8801550699399</t>
  </si>
  <si>
    <t>23.7457654</t>
  </si>
  <si>
    <t>90.3953207</t>
  </si>
  <si>
    <t>Telepsychiatry Research and Innovation Network Ltd. (TRIN), Dhaka</t>
  </si>
  <si>
    <t>Plot 15, Road 71, Gulshan, Dhaka-1212</t>
  </si>
  <si>
    <t>info@uhlbd.com</t>
  </si>
  <si>
    <t>+88028836444, +88 02 8836000 Hotline: 10666</t>
  </si>
  <si>
    <t>23.8046453</t>
  </si>
  <si>
    <t>90.4157514</t>
  </si>
  <si>
    <t>United Hospital Ltd., Dhaka</t>
  </si>
  <si>
    <t>Uttara Crescent Clinic Dhaka</t>
  </si>
  <si>
    <t>House-40, Road-Rabindra Sarani, Sector-7, Uttara, Dhaka- 1230</t>
  </si>
  <si>
    <t>info@uchbd.com</t>
  </si>
  <si>
    <t>10665 / 09666710665</t>
  </si>
  <si>
    <t>23.8673958</t>
  </si>
  <si>
    <t>90.397323</t>
  </si>
  <si>
    <t>Astha Psychotherapy Center, Dhaka</t>
  </si>
  <si>
    <t>Govt. Officer's Complex (Beside Kidney Foundation), Plot- 7, 2nd floor, Block-I, Mirpur-2, Dhaka</t>
  </si>
  <si>
    <t>asthapsy@gmail.com</t>
  </si>
  <si>
    <t>+8801812953976</t>
  </si>
  <si>
    <t>Aachol Foundation</t>
  </si>
  <si>
    <t>Shahbag, Dhaka -1000</t>
  </si>
  <si>
    <t>aacholfoundation@gmail.com</t>
  </si>
  <si>
    <t>+8801617586387</t>
  </si>
  <si>
    <t>23.7458686</t>
  </si>
  <si>
    <t>90.3923944</t>
  </si>
  <si>
    <t>Shojon, Dhaka</t>
  </si>
  <si>
    <t>Tele-Counseling and Psychiatric Consultation</t>
  </si>
  <si>
    <t>32, Mohakhali DOHS, Dhaka.</t>
  </si>
  <si>
    <t>mental.health@sajida.org</t>
  </si>
  <si>
    <t>+8801912119900</t>
  </si>
  <si>
    <t>23.7906995</t>
  </si>
  <si>
    <t>90.3668527</t>
  </si>
  <si>
    <t>House-83/B, Block-B, Banani, Dhaka</t>
  </si>
  <si>
    <t>info@wevolvebd.org</t>
  </si>
  <si>
    <t>+8801894804333</t>
  </si>
  <si>
    <t>23.7945346</t>
  </si>
  <si>
    <t>90.4016916</t>
  </si>
  <si>
    <t>Wevolve, Dhaka</t>
  </si>
  <si>
    <t>Beacon Point, Dhaka</t>
  </si>
  <si>
    <t>House-4, Road-23/A, Gulshan-1, Dhaka-1212</t>
  </si>
  <si>
    <t>info@beaconpointbd.com</t>
  </si>
  <si>
    <t>+8801985550068, +8801985550069, +8801985550678</t>
  </si>
  <si>
    <t>23.7955687</t>
  </si>
  <si>
    <t>90.4152676</t>
  </si>
  <si>
    <t>Empathy, Dhaka</t>
  </si>
  <si>
    <t>House-18, Road-6/A, Sector-5, Uttara, Dhaka</t>
  </si>
  <si>
    <t>info@empathy.com.bd</t>
  </si>
  <si>
    <t>+8801844076717</t>
  </si>
  <si>
    <t>House 2/E, Road 5, Sector 11, Uttara, Dhaka 1230.</t>
  </si>
  <si>
    <t>+8801711534433, +8802896213940, +8801711379166</t>
  </si>
  <si>
    <t>08:00-23:00</t>
  </si>
  <si>
    <t>23.8763778</t>
  </si>
  <si>
    <t>90.3949149</t>
  </si>
  <si>
    <t>Lighthouse, Dhaka</t>
  </si>
  <si>
    <t>Niramoy Hospital Dhaka</t>
  </si>
  <si>
    <t>House-13/19, Babor Road, Block-B, Mohammadpur, Dhaka Mobile/contact no: 02-9145987, 01758338888, 01758883355</t>
  </si>
  <si>
    <t>+88029145987, +8801758338888, +8801758883355</t>
  </si>
  <si>
    <t>23.7698535</t>
  </si>
  <si>
    <t>90.3643547</t>
  </si>
  <si>
    <t>Freedom Within Dhaka</t>
  </si>
  <si>
    <t>Mental Health Care Services</t>
  </si>
  <si>
    <t>13/14, Salimullah Road, Mohammadpur, Dhaka</t>
  </si>
  <si>
    <t>freedomwithin247@gmaii.com</t>
  </si>
  <si>
    <t>+8801996381513</t>
  </si>
  <si>
    <t>23.7563108</t>
  </si>
  <si>
    <t>90.3702843</t>
  </si>
  <si>
    <t>CRP-Chapain, CRP Road, Savar Union 1343, Dhaka.</t>
  </si>
  <si>
    <t>info@crp-bangiadesh.org</t>
  </si>
  <si>
    <t>+88O173OO59555</t>
  </si>
  <si>
    <t>08:00-17:00</t>
  </si>
  <si>
    <t>23.8566247</t>
  </si>
  <si>
    <t>90.2658723</t>
  </si>
  <si>
    <t>Center for the Rehabilitation of the Paralysed- CRP, Savar</t>
  </si>
  <si>
    <t>Inner Force, Dhaka</t>
  </si>
  <si>
    <t>Aftab Nibash, 7/5 (Sth Floor), Block-B, Lalmatia Dhaka</t>
  </si>
  <si>
    <t>innerforce.bd2ooo@gmaii.com</t>
  </si>
  <si>
    <t>+88029117764</t>
  </si>
  <si>
    <t>icddr,b, Dhaka</t>
  </si>
  <si>
    <t>Medical Services and Mental Health Training Programs</t>
  </si>
  <si>
    <t>68, Shahed Tajuddin Sarani, Mohakhali, Dhaka.</t>
  </si>
  <si>
    <t>info@icddrb.org</t>
  </si>
  <si>
    <t>+880 (0)2-2222-77001 to 10</t>
  </si>
  <si>
    <t>International</t>
  </si>
  <si>
    <t>23.7762341</t>
  </si>
  <si>
    <t>90.3998372</t>
  </si>
  <si>
    <t>Chittagong Medical College and Hospital Chattogram</t>
  </si>
  <si>
    <t>57, K.B. Fazlul Kader Road, P.S-PanchIaish, P.0 Chawkbazar, Chattogram</t>
  </si>
  <si>
    <t>Chattogram</t>
  </si>
  <si>
    <t>https://www.cmch.gov.bd</t>
  </si>
  <si>
    <t>cmch@hospi.dghs.gov.bd</t>
  </si>
  <si>
    <t>22.3592709</t>
  </si>
  <si>
    <t>91.8308045</t>
  </si>
  <si>
    <t>BD20</t>
  </si>
  <si>
    <t>BD2015</t>
  </si>
  <si>
    <t>57, K.B. Fazlul Kader Road, P.S- Panchlaish, P.0- Chawkbazar, Chattogram</t>
  </si>
  <si>
    <t>+88031619400</t>
  </si>
  <si>
    <t>Child Development Center, Chittagong Medical College and Hospital, Chattogram</t>
  </si>
  <si>
    <t>One Stop Crisis Center (OCC), Chattogram</t>
  </si>
  <si>
    <t>Counseling and Psychotherapy for Violence Survivors</t>
  </si>
  <si>
    <t>Chittagong Medical College Hospital</t>
  </si>
  <si>
    <t>occ_cmch@yahoo.com</t>
  </si>
  <si>
    <t>+8801713366635, +880312854073</t>
  </si>
  <si>
    <t>22.3752075</t>
  </si>
  <si>
    <t>91.8348606</t>
  </si>
  <si>
    <t>Comilla Medical College and Hospital Comilla</t>
  </si>
  <si>
    <t>Kuchaitoli, Dr Akhtar Hameed Khan Road, Comilla 3500</t>
  </si>
  <si>
    <t>https://www.comch.gov.bd</t>
  </si>
  <si>
    <t>comch@hospi.dghs.gov.bd</t>
  </si>
  <si>
    <t>+8808165401, 081-76343 &amp; +8801769-957089</t>
  </si>
  <si>
    <t>23.4509493</t>
  </si>
  <si>
    <t>91.2034967</t>
  </si>
  <si>
    <t>Cumilla</t>
  </si>
  <si>
    <t>BD2019</t>
  </si>
  <si>
    <t>Sadar Hospital Road, Cox's Bazar</t>
  </si>
  <si>
    <t>http://coxmc.edu.bd/</t>
  </si>
  <si>
    <t>coxmc@ac.dghs.gov.bd</t>
  </si>
  <si>
    <t>+88034151300, +8801711186518, +8801794342467</t>
  </si>
  <si>
    <t>21.4202275</t>
  </si>
  <si>
    <t>92.0149367</t>
  </si>
  <si>
    <t>Cox's Bazar</t>
  </si>
  <si>
    <t>BD2022</t>
  </si>
  <si>
    <t>Cox's Bazar Medical College and Hospital</t>
  </si>
  <si>
    <t>Child Development Center, Cox's Bazar Medical College and Hospital, Cox's Bazar</t>
  </si>
  <si>
    <t>+88034151300, +8801676288922, +8801712852706</t>
  </si>
  <si>
    <t>Hospital Road, Rangamati</t>
  </si>
  <si>
    <t>https://www.rangamatimc.edu.bd</t>
  </si>
  <si>
    <t>rangamatimc@ac.dghs.gov.bd</t>
  </si>
  <si>
    <t>0351-63821 (office), 0351-63817 (Principal) and 01768-044556</t>
  </si>
  <si>
    <t>22.6576733</t>
  </si>
  <si>
    <t>92.1687373</t>
  </si>
  <si>
    <t>Rangamati</t>
  </si>
  <si>
    <t>BD2084</t>
  </si>
  <si>
    <t>Rangamati Medical College and Hospital Rangamati</t>
  </si>
  <si>
    <t>Child Development Center, Rangamati Medical College and Hospital, Rangamati</t>
  </si>
  <si>
    <t>0351-63821 (office), 0351-63817 (Principal) &amp; 01768-044556</t>
  </si>
  <si>
    <t>Abdul Malek Ukil Medical College and Hospital, Noakhali</t>
  </si>
  <si>
    <t>Noakhali District</t>
  </si>
  <si>
    <t>https://nmc@ac.dghs.gov.bd</t>
  </si>
  <si>
    <t>+88032154300, +8801672409480, +8801741190870</t>
  </si>
  <si>
    <t>22.9514998</t>
  </si>
  <si>
    <t>91.1037957</t>
  </si>
  <si>
    <t>Noakhali</t>
  </si>
  <si>
    <t>BD2075</t>
  </si>
  <si>
    <t>Army Medical College, Chittagong (AMCC)</t>
  </si>
  <si>
    <t>Chittagong Cantonment, Chittagong</t>
  </si>
  <si>
    <t>https://afmcbd.academia.edu</t>
  </si>
  <si>
    <t>+880312580425</t>
  </si>
  <si>
    <t>22.4278853</t>
  </si>
  <si>
    <t>91.8101967</t>
  </si>
  <si>
    <t>Army Medical College Comilla (AMC Comilla)</t>
  </si>
  <si>
    <t>Comilla Cantonment, Comilla</t>
  </si>
  <si>
    <t>https://www.amccomilla.edu.bd</t>
  </si>
  <si>
    <t>amccomiiia2015@gmaii.com</t>
  </si>
  <si>
    <t>23.4856192</t>
  </si>
  <si>
    <t>91.1127541</t>
  </si>
  <si>
    <t>Agrabad, Chattogram -4100</t>
  </si>
  <si>
    <t>https://www.cmoshbd.org</t>
  </si>
  <si>
    <t>cmoshctg@gmail.com</t>
  </si>
  <si>
    <t>+8801794-337009 (Help Desk), +8802333320063, 88-</t>
  </si>
  <si>
    <t>22.3603502</t>
  </si>
  <si>
    <t>91.8337782</t>
  </si>
  <si>
    <t>Chattogram Maa-O-Shishu Hospital Medical College Chattogram</t>
  </si>
  <si>
    <t>01794-337009 (Help Desk), +880312520063, 711236</t>
  </si>
  <si>
    <t>00:00-23:59</t>
  </si>
  <si>
    <t>22.3227667</t>
  </si>
  <si>
    <t>91.806284</t>
  </si>
  <si>
    <t>Center for Autism and Child Development, Chattogram Maa-O-Shishu Hospital Medical College, Chattogram</t>
  </si>
  <si>
    <t>Bangabandhu Memorial Hospital (BBMH), Chattogram</t>
  </si>
  <si>
    <t>Zakir Hossain Road, Foy's Lake, Chattogram-4202</t>
  </si>
  <si>
    <t>https://www.ustc.ac.bd</t>
  </si>
  <si>
    <t>ustc.ctg@gmaii.com</t>
  </si>
  <si>
    <t>+88031659070-71(109)</t>
  </si>
  <si>
    <t>work 7 days a week, every day. Contact the hotline for an emergency appointment.</t>
  </si>
  <si>
    <t>22.3614427</t>
  </si>
  <si>
    <t>91.7973215</t>
  </si>
  <si>
    <t>Epic Health Care Ltd. Chattogram</t>
  </si>
  <si>
    <t>Main Branch: 19 K B Fazlul Kader Road, Opposite Ctg Medical Main gate, Panchlaish, Chattogram</t>
  </si>
  <si>
    <t>http://epicpI.com</t>
  </si>
  <si>
    <t>info@epichcl.com; ehcl@gmail.com</t>
  </si>
  <si>
    <t>+880312598547, +8801984499600, +8801847-005345 &amp;</t>
  </si>
  <si>
    <t>14:30-16:00</t>
  </si>
  <si>
    <t>22.3609736</t>
  </si>
  <si>
    <t>91.8304238</t>
  </si>
  <si>
    <t>Max Diagnostic Ltd. Chattogram</t>
  </si>
  <si>
    <t>Main Branch: 35/36, Mehdibag Road, Chawkbazar, Chattogram</t>
  </si>
  <si>
    <t>https://www.maxhospitaIbd.com</t>
  </si>
  <si>
    <t>info@maxhospitalbd.com</t>
  </si>
  <si>
    <t>+8801713998166, +8801713998199, +8801797584583</t>
  </si>
  <si>
    <t>22.3554741</t>
  </si>
  <si>
    <t>91.8262954</t>
  </si>
  <si>
    <t>Level-3, Forum Central, House-787/863, MM Ali Road, Goal Pahar Moar, Mehedibag, Chattogram - 4000</t>
  </si>
  <si>
    <t>+880316567924, 01766662829 (for appointment: 01766662829</t>
  </si>
  <si>
    <t>22.3586683</t>
  </si>
  <si>
    <t>91.8253905</t>
  </si>
  <si>
    <t>LABAID Ltd. (Diagnostic) Chattogram</t>
  </si>
  <si>
    <t>National Hospital Chattogram and Sigma Lab Ltd.</t>
  </si>
  <si>
    <t>14/15, Mehedibug, Chattogram</t>
  </si>
  <si>
    <t>https://www.nationalhospital.com.bd</t>
  </si>
  <si>
    <t>nationalhospitalctg@yahoo.com; ctgnhc@gmail.com</t>
  </si>
  <si>
    <t>+02333357914, +8801855677500, +8801993-</t>
  </si>
  <si>
    <t>15:00-17:00</t>
  </si>
  <si>
    <t>22.3549227</t>
  </si>
  <si>
    <t>91.8249992</t>
  </si>
  <si>
    <t>CSCR (Pvt.) Ltd. (Hospital and Diagnostic Center) Chattogram</t>
  </si>
  <si>
    <t>CSCR Bhaban, 1675/A O.R. Nizam Rd, Chattogram-4000</t>
  </si>
  <si>
    <t>https://www.cscrbd.com</t>
  </si>
  <si>
    <t>info@cscrbd.com</t>
  </si>
  <si>
    <t>+88031656565, +88031650611, +8801784401596</t>
  </si>
  <si>
    <t>10:00-16:00</t>
  </si>
  <si>
    <t>22.3601674</t>
  </si>
  <si>
    <t>91.8276049</t>
  </si>
  <si>
    <t>House-12/A Road-02, Katalganj R/A, Panchlaish, Chattogram</t>
  </si>
  <si>
    <t>Hotline: 09610009622 Phone: +02334455151-4, Mobile: 01886610115-6</t>
  </si>
  <si>
    <t>24.8393659</t>
  </si>
  <si>
    <t>89.3739922</t>
  </si>
  <si>
    <t>Rajshahi</t>
  </si>
  <si>
    <t>BD50</t>
  </si>
  <si>
    <t>Bogura</t>
  </si>
  <si>
    <t>BD5010</t>
  </si>
  <si>
    <t>Ibn Sina Diagnostic and Consultation Center</t>
  </si>
  <si>
    <t>Room no- 465 (Sth Floor), 953 O.R. Nizam Road, GEC Mor, Chattogram</t>
  </si>
  <si>
    <t>support@medicalcentrebd.com</t>
  </si>
  <si>
    <t>+8801315600954</t>
  </si>
  <si>
    <t>17:00-20:00</t>
  </si>
  <si>
    <t>22.3593932</t>
  </si>
  <si>
    <t>91.8229389</t>
  </si>
  <si>
    <t>Medical Center Hospital Chattogram</t>
  </si>
  <si>
    <t>20/B. K. B. Fazlul Kader Road, Panchlaish, Chattogram</t>
  </si>
  <si>
    <t>info@populardiagnostic.com</t>
  </si>
  <si>
    <t>Hotline: 09666 787810, +8809613787810, +8801797577542</t>
  </si>
  <si>
    <t>19:00-20:00</t>
  </si>
  <si>
    <t>22.3608484</t>
  </si>
  <si>
    <t>91.8318335</t>
  </si>
  <si>
    <t>Popular Diagnostic Center Ltd. Chattogram</t>
  </si>
  <si>
    <t>Woodland Diagnostic Center Chattogram</t>
  </si>
  <si>
    <t>37, KB Fazlul Kader Road, Panchlaish, Chattogram</t>
  </si>
  <si>
    <t>appointment: +8801686640540</t>
  </si>
  <si>
    <t>19:00-21:00</t>
  </si>
  <si>
    <t>22.3596582</t>
  </si>
  <si>
    <t>91.835151</t>
  </si>
  <si>
    <t>Peerless Diagnostic Center Ltd. Chattogram</t>
  </si>
  <si>
    <t>1504, O.R. Nizam Road, Goalpahar Mor, Chattogram</t>
  </si>
  <si>
    <t>peerlessdiagnosticc@gmail.com</t>
  </si>
  <si>
    <t>031-2552703-4  and +8801975-001008</t>
  </si>
  <si>
    <t>11:00-13:00</t>
  </si>
  <si>
    <t>22.3591283</t>
  </si>
  <si>
    <t>91.8264113</t>
  </si>
  <si>
    <t>Parkview Hospital Ltd., Chattogram</t>
  </si>
  <si>
    <t>94/103, Katalganj Road, Panchlaish, Chattogram</t>
  </si>
  <si>
    <t>https://www.parkview.com.bd</t>
  </si>
  <si>
    <t>info@phlctg.com</t>
  </si>
  <si>
    <t>02-334455071-6, 02-334451901-6, +8801976022333</t>
  </si>
  <si>
    <t>15:00-18:00</t>
  </si>
  <si>
    <t>22.363333</t>
  </si>
  <si>
    <t>91.8357196</t>
  </si>
  <si>
    <t>People's Hospital Ltd. Chattogram</t>
  </si>
  <si>
    <t>+8801865-301543 &amp; +8801977-560600</t>
  </si>
  <si>
    <t>18:00-20:00</t>
  </si>
  <si>
    <t>22.3597949</t>
  </si>
  <si>
    <t>91.8366694</t>
  </si>
  <si>
    <t>Chevron Clinical Laboratory (Pte.) Ltd. Chattogram</t>
  </si>
  <si>
    <t>Room No. 0206 (Level 2) 12/12 0. R. Nizam Road, Panchlaish,</t>
  </si>
  <si>
    <t>www.chevronIab.com; www.chevronbd.com</t>
  </si>
  <si>
    <t>info@chevronlab.com &amp; admin@chevronbd.com</t>
  </si>
  <si>
    <t>12:00-21:00</t>
  </si>
  <si>
    <t>22.3633671</t>
  </si>
  <si>
    <t>91.8301069</t>
  </si>
  <si>
    <t>Islami Bank Hospital</t>
  </si>
  <si>
    <t>3, Sheikh Mujib Road, Bonani, Agrabad, Chattogram</t>
  </si>
  <si>
    <t>ibh.agrabad@gmaii.com</t>
  </si>
  <si>
    <t>+8801731253990, +8801908402233, +8801810000122</t>
  </si>
  <si>
    <t>16:00-17:00</t>
  </si>
  <si>
    <t>23.819487</t>
  </si>
  <si>
    <t>90.3653879</t>
  </si>
  <si>
    <t>948 O.R. Nizam Rd, Chattogram- 4001</t>
  </si>
  <si>
    <t>22.3590294</t>
  </si>
  <si>
    <t>91.8235471</t>
  </si>
  <si>
    <t>Chittagong Metropolitan Hospital Pvt. Ltd.</t>
  </si>
  <si>
    <t>Chittagong Metropolitan Diagnostic Center Chattogram</t>
  </si>
  <si>
    <t>Forum Central, Golpahar Moor, Chattogram</t>
  </si>
  <si>
    <t>22.3590115</t>
  </si>
  <si>
    <t>91.823687</t>
  </si>
  <si>
    <t>Unit 1: Plot-9/A; Road-1; Lane-2 Block-G, Halishahar H/E, Chattogram and Unit 2: Seaman Hostel Gate, EPZ, Chattogram.</t>
  </si>
  <si>
    <t>https://www.qrex.com.bd</t>
  </si>
  <si>
    <t>info@qrex.com.bd</t>
  </si>
  <si>
    <t>+8801828880299, +88031717090, 01882534499 (unit 2)</t>
  </si>
  <si>
    <t>07:00-23:00</t>
  </si>
  <si>
    <t>22.3318483</t>
  </si>
  <si>
    <t>91.788275</t>
  </si>
  <si>
    <t>Qrex Diagnostic and Consultancy Center Ltd. Chattogram</t>
  </si>
  <si>
    <t>Life Coach Bangladesh Chattogram</t>
  </si>
  <si>
    <t>Golpahar Mor (old MFC Building), Rabson Care Ltd, 1stFloor, Chattogram. Agrabad Branch: 6th Floor, Software Technology Park, Agrabad.</t>
  </si>
  <si>
    <t>info@lifecoachbd.com</t>
  </si>
  <si>
    <t>10:00-21:00</t>
  </si>
  <si>
    <t>22.3591059</t>
  </si>
  <si>
    <t>91.8260325</t>
  </si>
  <si>
    <t>Serenity, Chattogram</t>
  </si>
  <si>
    <t>Seba Diagnostic Center, Faruk Bhobon, 576/77 O.R. Nizam Road, Probortok Mor, Chattogram</t>
  </si>
  <si>
    <t>info@serenity.com.bd; serenityctg@gmail.com</t>
  </si>
  <si>
    <t>01880-810073 and 01674-133634</t>
  </si>
  <si>
    <t>outdoor services 2 -10 p.m. (except government holidays)</t>
  </si>
  <si>
    <t>22.3591038</t>
  </si>
  <si>
    <t>91.8262357</t>
  </si>
  <si>
    <t>Chittagong Mental Health Care and Research, Chattogram</t>
  </si>
  <si>
    <t>Sheba Diagnostic Center, Faruk Bhaban, 576/77 0.R Nizam Road, West Gate of Chittagong Medical College, Chattogram.</t>
  </si>
  <si>
    <t>miionkj111@gmaii.com</t>
  </si>
  <si>
    <t>+8801816066067</t>
  </si>
  <si>
    <t>call for detail information</t>
  </si>
  <si>
    <t>MONOCARE CLINIC Chattogram</t>
  </si>
  <si>
    <t>Rashid Mansion, Suborna Residential Area, 1299, 0 R Nizam Road, Golpahar, Chattogram.</t>
  </si>
  <si>
    <t>+8801758-121999 and +8801819-383872</t>
  </si>
  <si>
    <t>22.3591357</t>
  </si>
  <si>
    <t>91.825775</t>
  </si>
  <si>
    <t>JBK Tower, Trunk Road, Feni 3900 (opposite Raj Bari gate)</t>
  </si>
  <si>
    <t>https://www.chevronbd.com</t>
  </si>
  <si>
    <t>info@chevronlab.com; admin@chevronbd.com; IifeIinebd1000@gmaiI.com</t>
  </si>
  <si>
    <t>+8801820090185, +8801866980890, 01821-334346 (for serial)</t>
  </si>
  <si>
    <t>14:00-19:00</t>
  </si>
  <si>
    <t>23.0100149</t>
  </si>
  <si>
    <t>91.3991863</t>
  </si>
  <si>
    <t>Feni</t>
  </si>
  <si>
    <t>BD2030</t>
  </si>
  <si>
    <t>Chevron Clinical Laboratory (Pte.) Ltd., Feni</t>
  </si>
  <si>
    <t>Bayezid's Health Service Center</t>
  </si>
  <si>
    <t>Trunk Road, Feni - 3900</t>
  </si>
  <si>
    <t>+8801711393744</t>
  </si>
  <si>
    <t>11:00-17:00</t>
  </si>
  <si>
    <t>23.0122</t>
  </si>
  <si>
    <t>91.3968</t>
  </si>
  <si>
    <t>Life Care Diagnostic Center, Feni</t>
  </si>
  <si>
    <t>206, Trunk Road, Feni - 3900</t>
  </si>
  <si>
    <t>15:00-19:00</t>
  </si>
  <si>
    <t>23.008386</t>
  </si>
  <si>
    <t>91.4007301</t>
  </si>
  <si>
    <t>Jahiriya Tower, Trank Road, Feni 3900</t>
  </si>
  <si>
    <t>+8801849933222, +8801854644664</t>
  </si>
  <si>
    <t>10:00-15:00</t>
  </si>
  <si>
    <t>Feni Max Diagnostic Center, Feni</t>
  </si>
  <si>
    <t>Concept Plus, Feni</t>
  </si>
  <si>
    <t>Tara Nibash City Complex, trunk Road. Feni- 3900</t>
  </si>
  <si>
    <t>01869-865543 and 01869-865544</t>
  </si>
  <si>
    <t>10:00-14:00</t>
  </si>
  <si>
    <t>23.0139935</t>
  </si>
  <si>
    <t>91.3955225</t>
  </si>
  <si>
    <t>Feni Medicare Diagnostic Center, Feni</t>
  </si>
  <si>
    <t>Abedin Super Market, Grand Trunk Road, Feni- 3900</t>
  </si>
  <si>
    <t>01834-031113 and 01789-631113</t>
  </si>
  <si>
    <t>16:00-20:00</t>
  </si>
  <si>
    <t>23.0096583</t>
  </si>
  <si>
    <t>91.3995425</t>
  </si>
  <si>
    <t>V I P TOWER, S S K Road, Feni- 3900</t>
  </si>
  <si>
    <t>+8801842219101, +8801872717200</t>
  </si>
  <si>
    <t>10:00-17:00</t>
  </si>
  <si>
    <t>Feni Al-Baraka Hospital and Digital Diagnostic Center, Feni</t>
  </si>
  <si>
    <t>Good Heal Complex Noakhali</t>
  </si>
  <si>
    <t>Hospital Road, 3800 Maijdee Court, Noakhali.</t>
  </si>
  <si>
    <t>+8801718500280</t>
  </si>
  <si>
    <t>22.8717565</t>
  </si>
  <si>
    <t>91.0897866</t>
  </si>
  <si>
    <t>Comilla Holy Family Hospital, Comilla</t>
  </si>
  <si>
    <t>Comilla Kotbari Road, Comilla-3500</t>
  </si>
  <si>
    <t>01742-477824 (appointment)</t>
  </si>
  <si>
    <t>23.4498511</t>
  </si>
  <si>
    <t>91.175808</t>
  </si>
  <si>
    <t>Medinova Medical Services Ltd. Comilla</t>
  </si>
  <si>
    <t>Laksham Road, Comilla-3500</t>
  </si>
  <si>
    <t>+8801744232288, +8801711145365, +8808177563</t>
  </si>
  <si>
    <t>12:00-20:00</t>
  </si>
  <si>
    <t>23.4557203</t>
  </si>
  <si>
    <t>91.1799765</t>
  </si>
  <si>
    <t>Prime Hospital Ltd. Noakhali</t>
  </si>
  <si>
    <t>Unit-1 General Hospital Road, Maijdee court, Noakhali- 3800. Unit-2 Chowmuhoni Chowrasta, Begumgonj, Noakhali</t>
  </si>
  <si>
    <t>https://www.primehospitaIItd.com</t>
  </si>
  <si>
    <t>primehospitai12@gmaii.com</t>
  </si>
  <si>
    <t>+8801716566923, +8801712025995, +8801313789001</t>
  </si>
  <si>
    <t>call for details information</t>
  </si>
  <si>
    <t>22.8716428</t>
  </si>
  <si>
    <t>91.0916669</t>
  </si>
  <si>
    <t>Psychiatric and Rehabilitation Services</t>
  </si>
  <si>
    <t>Nangalkot, Cumilla.</t>
  </si>
  <si>
    <t>https://zamanscIinic.com</t>
  </si>
  <si>
    <t>zamanbashir@gmail.com</t>
  </si>
  <si>
    <t>+880803366228, +8801715471751, +8801816849003, +8801772205253</t>
  </si>
  <si>
    <t>23.1155532</t>
  </si>
  <si>
    <t>91.2313618</t>
  </si>
  <si>
    <t>Zaman's Clinic and Hospital, Comilla</t>
  </si>
  <si>
    <t>Moon Hospital Ltd. Comilla</t>
  </si>
  <si>
    <t>Shahid Khawja Nizamuddin Road, Jhautola, Comilla</t>
  </si>
  <si>
    <t>https://www.moonhospitaI.org</t>
  </si>
  <si>
    <t>14:00-17:00</t>
  </si>
  <si>
    <t>23.464294</t>
  </si>
  <si>
    <t>91.1764603</t>
  </si>
  <si>
    <t>Comilla Tower, Laksham Road, Comilla</t>
  </si>
  <si>
    <t>16:00-21:00</t>
  </si>
  <si>
    <t>Comilla Medical Center (Pvt.) Ltd. Comilla</t>
  </si>
  <si>
    <t>Comilla Navana Hospital (Pvt.) Ltd.</t>
  </si>
  <si>
    <t>Jhawtala, Comilla</t>
  </si>
  <si>
    <t>navanahospitalpvt@gmail.com</t>
  </si>
  <si>
    <t>081-74389 +8801842-221700 &amp; +8801703-504305</t>
  </si>
  <si>
    <t>23.4498326</t>
  </si>
  <si>
    <t>91.1846622</t>
  </si>
  <si>
    <t>H.R Hospital Pvt. Ltd.</t>
  </si>
  <si>
    <t>333, Jhawtala, Comilla</t>
  </si>
  <si>
    <t>+8801979899987</t>
  </si>
  <si>
    <t>23.4634092</t>
  </si>
  <si>
    <t>91.1776931</t>
  </si>
  <si>
    <t>Akanda General Hospital, Comilla</t>
  </si>
  <si>
    <t>Racecourse, Comilla</t>
  </si>
  <si>
    <t>House-622/3, 2nd Kandir Par, Laksham Road, Comilla</t>
  </si>
  <si>
    <t>alamin@labaidgroup.com</t>
  </si>
  <si>
    <t>LABAID Ltd. (Diagnostic) Comilla</t>
  </si>
  <si>
    <t>Alim Para, Hazi Mohshin Road, Chandpur</t>
  </si>
  <si>
    <t>1712-053205, 01819981266 (appointment)</t>
  </si>
  <si>
    <t>23.4585768</t>
  </si>
  <si>
    <t>91.1806819</t>
  </si>
  <si>
    <t>MIDLAND HOSPITAL (Pvt.) Ltd.</t>
  </si>
  <si>
    <t>MRI Point Comilla</t>
  </si>
  <si>
    <t>Newaz Manshion, Badurtala (Near YWCA School), Comilla</t>
  </si>
  <si>
    <t>mripointcumilla@gmail.com</t>
  </si>
  <si>
    <t>+8801777166655, 01708-076575 (for appointment)</t>
  </si>
  <si>
    <t>Shishu Mangal Rd, Badurtala, Comilla-3500</t>
  </si>
  <si>
    <t>15:00-00:00</t>
  </si>
  <si>
    <t>23.4619725</t>
  </si>
  <si>
    <t>91.1794868</t>
  </si>
  <si>
    <t>CD Path and Hospital (Pvt.) Ltd.</t>
  </si>
  <si>
    <t>Model Mental Hospital</t>
  </si>
  <si>
    <t>House-3, Block-N, section-1, Housing Estate, near Highway police Super office, Medical College Road, Comilla</t>
  </si>
  <si>
    <t>23.4512</t>
  </si>
  <si>
    <t>91.1952</t>
  </si>
  <si>
    <t>Eastern Medical College and Hospital Comilla</t>
  </si>
  <si>
    <t>Kabila (Dhaka-Chittagong Highway), Burichang, Comilla</t>
  </si>
  <si>
    <t>https://www.emccomiIIa.com</t>
  </si>
  <si>
    <t>emccomilla@yahoo.com, info@emccomilla.com</t>
  </si>
  <si>
    <t>23.4792405</t>
  </si>
  <si>
    <t>91.0731434</t>
  </si>
  <si>
    <t>Mainamoti Medical College and Hospital Comilla</t>
  </si>
  <si>
    <t>Barapara, Comilla (near Comilla Medical College)</t>
  </si>
  <si>
    <t>https://www.mmmch.edu.bd</t>
  </si>
  <si>
    <t>mainamotimedicalcollege@yahoo.com</t>
  </si>
  <si>
    <t>23.4555985</t>
  </si>
  <si>
    <t>91.2056224</t>
  </si>
  <si>
    <t>MUKTI Cox's Bazar</t>
  </si>
  <si>
    <t>Sarada Bhaban, Gol dighir par, Cox's Bazar-4700</t>
  </si>
  <si>
    <t>https://www.mukticox.org</t>
  </si>
  <si>
    <t>bimal.sarker@mukticox.org</t>
  </si>
  <si>
    <t>21.1720148</t>
  </si>
  <si>
    <t>92.1543924</t>
  </si>
  <si>
    <t>Technical Assistance Inc (TAI), Cox's Bazar</t>
  </si>
  <si>
    <t>60/A, Sea Beach R/A, Kolatoli, Guest House Zone, Cox's Bazar-4700</t>
  </si>
  <si>
    <t>https://www.technicaIassistanceinc.com</t>
  </si>
  <si>
    <t>isayeed@techai.com</t>
  </si>
  <si>
    <t>21.4261633</t>
  </si>
  <si>
    <t>91.9798524</t>
  </si>
  <si>
    <t>Action Against Hunger (ACF), Cox's Bazar</t>
  </si>
  <si>
    <t>Kolatali, Cox's Bazar-4700</t>
  </si>
  <si>
    <t>https://www.actionagainsthunger.org</t>
  </si>
  <si>
    <t>21.427813</t>
  </si>
  <si>
    <t>91.9793681</t>
  </si>
  <si>
    <t>Médecins Sans Frontiéres (MSF) Holland</t>
  </si>
  <si>
    <t>Irfan Bhaban, Ukhiya, Cox's Bazar</t>
  </si>
  <si>
    <t>https://www.msf.org</t>
  </si>
  <si>
    <t>21.4268609650339</t>
  </si>
  <si>
    <t>91.97947047499</t>
  </si>
  <si>
    <t>Parjatan Luxury Cottage-3, Cox's Bazar-4700</t>
  </si>
  <si>
    <t>https://www.iom.int</t>
  </si>
  <si>
    <t>21.439388453147</t>
  </si>
  <si>
    <t>91.96985250815</t>
  </si>
  <si>
    <t>International Organization for Migration (IOM)</t>
  </si>
  <si>
    <t>Rajshahi Medical College and Hospital</t>
  </si>
  <si>
    <t>Rajshahi Medical College, Rajshahi-6000</t>
  </si>
  <si>
    <t>rmch@hosh.dghs.gov.bd</t>
  </si>
  <si>
    <t>+880721772150</t>
  </si>
  <si>
    <t>24.372019</t>
  </si>
  <si>
    <t>88.5864259</t>
  </si>
  <si>
    <t>BD5081</t>
  </si>
  <si>
    <t>0721-772150.</t>
  </si>
  <si>
    <t>08:30-14:00</t>
  </si>
  <si>
    <t>24.3719423</t>
  </si>
  <si>
    <t>88.5809027</t>
  </si>
  <si>
    <t>RTCC, Rajshahi Medical College and Hospital, Rajshahi</t>
  </si>
  <si>
    <t>Shishu Bkash Kendra, Rajshahi Medical College and Hospital</t>
  </si>
  <si>
    <t>Room no-08, Rajshahi Medical, Rajshahi-6000</t>
  </si>
  <si>
    <t>raj_sbk@yahoo.com</t>
  </si>
  <si>
    <t>01719341435.</t>
  </si>
  <si>
    <t>Sadar, Sirajganj</t>
  </si>
  <si>
    <t>smmamch@hospi.dghs.gov.bd</t>
  </si>
  <si>
    <t>+88075164244</t>
  </si>
  <si>
    <t>24.4488504</t>
  </si>
  <si>
    <t>89.6737564</t>
  </si>
  <si>
    <t>Sirajganj</t>
  </si>
  <si>
    <t>BD5088</t>
  </si>
  <si>
    <t>Shaheed M. Monsur Ali Medical College and Hospital, Sirajganj (SMMAMC)</t>
  </si>
  <si>
    <t>Sadar, Sirajgonj</t>
  </si>
  <si>
    <t>sbk.sirajonj@gmaii.com</t>
  </si>
  <si>
    <t>01733349095.</t>
  </si>
  <si>
    <t>09:00-14:00</t>
  </si>
  <si>
    <t>Shishu Bikash Kendra Shaheed M. Monsur Ali Medical College and Hospital , Sirajganj (SMMAMC)</t>
  </si>
  <si>
    <t>Shaheed Ziaur Rahman Medical College and Hospital, Bogura</t>
  </si>
  <si>
    <t>Silimpur, Bogura</t>
  </si>
  <si>
    <t>http://www.szmc.gov.bd/</t>
  </si>
  <si>
    <t>+8805169965</t>
  </si>
  <si>
    <t>24.8279027</t>
  </si>
  <si>
    <t>89.3528718</t>
  </si>
  <si>
    <t>Shishu Bikash Kendra, Shaheed Ziaur Rahman Medical College and Hospital, Bogura</t>
  </si>
  <si>
    <t>sbkbogras@gmail.com</t>
  </si>
  <si>
    <t>+8801717198758</t>
  </si>
  <si>
    <t>Shishu Bikash Kendra, Adhunik Sadar Hospital, Natore</t>
  </si>
  <si>
    <t>room no-206, 207</t>
  </si>
  <si>
    <t>natore@hospi.dghs.gov.bd</t>
  </si>
  <si>
    <t>+8801756383608</t>
  </si>
  <si>
    <t>24.4098528</t>
  </si>
  <si>
    <t>88.98355</t>
  </si>
  <si>
    <t>Natore</t>
  </si>
  <si>
    <t>BD5069</t>
  </si>
  <si>
    <t>Pabna Medical College and Hospital, Hemayetpur Pabna</t>
  </si>
  <si>
    <t>Hemayetpur, Pabna</t>
  </si>
  <si>
    <t>+88073166231, +88073162012</t>
  </si>
  <si>
    <t>24.0044904</t>
  </si>
  <si>
    <t>89.2090018</t>
  </si>
  <si>
    <t>Pabna</t>
  </si>
  <si>
    <t>BD5076</t>
  </si>
  <si>
    <t>Pabna Mental Hospital, Hemayetpur, Pabna</t>
  </si>
  <si>
    <t>+88073165581, +8801711666655</t>
  </si>
  <si>
    <t>24.002241</t>
  </si>
  <si>
    <t>89.2063002</t>
  </si>
  <si>
    <t>Mental Health Care Services, Counseling, and Psychotherapy</t>
  </si>
  <si>
    <t>near Rajshahi College health center</t>
  </si>
  <si>
    <t>mhcrc2021@gmaii.com</t>
  </si>
  <si>
    <t>017233420223</t>
  </si>
  <si>
    <t>24.3652113</t>
  </si>
  <si>
    <t>88.5955686</t>
  </si>
  <si>
    <t>Mental Health Center, Rajshahi College, Rajshahi</t>
  </si>
  <si>
    <t>Counseling, Psychotherapy, and Psychological Assessment (Students, Teachers, and Staff Only)</t>
  </si>
  <si>
    <t>mental health center, Rajshahi University</t>
  </si>
  <si>
    <t>mhc@ru.ac.bd</t>
  </si>
  <si>
    <t>+8801762866115, +8802588864936</t>
  </si>
  <si>
    <t>24.368195</t>
  </si>
  <si>
    <t>88.6376358</t>
  </si>
  <si>
    <t>Mental Health Center, Rajshahi University</t>
  </si>
  <si>
    <t>Psychotherapy Unit, Clinical Psychology Department, Rajshahi University</t>
  </si>
  <si>
    <t>Clinical Psychology Department, 4th science building, Rajshahi University</t>
  </si>
  <si>
    <t>+8802588864308</t>
  </si>
  <si>
    <t>Sirajganj Lab Diagnostic and Hospital</t>
  </si>
  <si>
    <t>Jogai Mor, Sirajganj</t>
  </si>
  <si>
    <t>+8801757848387</t>
  </si>
  <si>
    <t>24.4615545</t>
  </si>
  <si>
    <t>89.7053442</t>
  </si>
  <si>
    <t>The Lab, E. B. Road Sirajganj</t>
  </si>
  <si>
    <t>E. B. Road, Sirajganj</t>
  </si>
  <si>
    <t>+8801967440594</t>
  </si>
  <si>
    <t>Al-Ruhama Plaza (2nd floor) Mohanpur Road</t>
  </si>
  <si>
    <t>+8801713713950, +8801711302301, +8801799734040</t>
  </si>
  <si>
    <t>16:00-18:00</t>
  </si>
  <si>
    <t>24.3459129</t>
  </si>
  <si>
    <t>89.5614739</t>
  </si>
  <si>
    <t>Dhaka Clinic, Al-Ruhama Plaza (2nd Floor) Mohanpur Road (Joydebpur Road), Ullapara Sirajganj</t>
  </si>
  <si>
    <t>Shamolipara, Ullapara, Sirajganj</t>
  </si>
  <si>
    <t>+8801781397692, +8801933508232</t>
  </si>
  <si>
    <t>24.3085461</t>
  </si>
  <si>
    <t>89.5650362</t>
  </si>
  <si>
    <t>Jumuna Hospital, Shamoli Para, Ullapara, Sirajganj</t>
  </si>
  <si>
    <t>Mujib Road, Borogachi, Sirajganj</t>
  </si>
  <si>
    <t>+88075162651, +8801728293232, +8801715508214</t>
  </si>
  <si>
    <t>24.4565151</t>
  </si>
  <si>
    <t>89.7033744</t>
  </si>
  <si>
    <t>Health Aid Diagnostic and Consultation Center, Mujib Road Borogachi, Sirajganj</t>
  </si>
  <si>
    <t>Sirajganj Lab Aid Diagnostic Clinic</t>
  </si>
  <si>
    <t>+8801718640087</t>
  </si>
  <si>
    <t>24.4015689</t>
  </si>
  <si>
    <t>89.6731031</t>
  </si>
  <si>
    <t>Sirajganj Lab Aid Diagnostic Clinic Bogura Road Shialcol Bazar</t>
  </si>
  <si>
    <t>Khwaja Yunus Ali Medical College and Hospital, Sirajganj</t>
  </si>
  <si>
    <t>Enayatpur, Sirajganj</t>
  </si>
  <si>
    <t>+8801716291681</t>
  </si>
  <si>
    <t>24.2267272</t>
  </si>
  <si>
    <t>89.7027804</t>
  </si>
  <si>
    <t>House-271, Road-2, Padma Residential Area, Vodra,</t>
  </si>
  <si>
    <t>+8801772225000, +8801727147714</t>
  </si>
  <si>
    <t>24.3772739</t>
  </si>
  <si>
    <t>88.620708</t>
  </si>
  <si>
    <t>Psychological Assessment and Service for Improving Life Competencies (PASILC), Rajshahi</t>
  </si>
  <si>
    <t>Lakshipur More, Sershah Road, Rajshahi</t>
  </si>
  <si>
    <t>+8807210771455, +8801762685090</t>
  </si>
  <si>
    <t>24.3746497</t>
  </si>
  <si>
    <t>88.6003665</t>
  </si>
  <si>
    <t>Rajshahi Royal Hospital and Diagnostic Center</t>
  </si>
  <si>
    <t>Akota Clinic, Natore</t>
  </si>
  <si>
    <t>Psychiatric Services and Psychotherapy</t>
  </si>
  <si>
    <t>Boro Horispur, Natore</t>
  </si>
  <si>
    <t>mozaheraii77@gmaii.com</t>
  </si>
  <si>
    <t>+8801718709411, +8801711022449</t>
  </si>
  <si>
    <t>08:00-19:00</t>
  </si>
  <si>
    <t>24.4113554</t>
  </si>
  <si>
    <t>89.0048968</t>
  </si>
  <si>
    <t>72/9, city Bypass, Dingadoba, Rajpara, Rajshahi-6000</t>
  </si>
  <si>
    <t>aponvubon75@gmaii.com</t>
  </si>
  <si>
    <t>+8801717956734, +8801726852912</t>
  </si>
  <si>
    <t>24.382802</t>
  </si>
  <si>
    <t>88.606399</t>
  </si>
  <si>
    <t>APON Bhubon, Rajshahi</t>
  </si>
  <si>
    <t>House-194, Road-4, Padma Residential area, Vodra, Rajshahi-</t>
  </si>
  <si>
    <t>https://www.creasociety.org</t>
  </si>
  <si>
    <t>info@creasociety.org</t>
  </si>
  <si>
    <t>+8801715004254</t>
  </si>
  <si>
    <t>package system</t>
  </si>
  <si>
    <t>CREA, Rajshahi</t>
  </si>
  <si>
    <t>Pabna Sadar thana, Shalgaria, Pabna</t>
  </si>
  <si>
    <t>burhannhp@gmail.com</t>
  </si>
  <si>
    <t>+8801711666655</t>
  </si>
  <si>
    <t>24.009</t>
  </si>
  <si>
    <t>89.2409</t>
  </si>
  <si>
    <t>Cure Point Diagnostic Center</t>
  </si>
  <si>
    <t>Simla Tower, Thana More, Salgaria, Pabna Sadar.</t>
  </si>
  <si>
    <t>+8807316487, +8801713228218, +8801767613344</t>
  </si>
  <si>
    <t>15:00-20:00</t>
  </si>
  <si>
    <t>24.0081259</t>
  </si>
  <si>
    <t>89.2401161</t>
  </si>
  <si>
    <t>Simla Hospital and Diagnostic Center Pabna</t>
  </si>
  <si>
    <t>Fair Health Consultancy and Diagnostic Center Joypurhat</t>
  </si>
  <si>
    <t>Ansar Ali Complex, Sadar Road, Bata More, Joypurhaat.</t>
  </si>
  <si>
    <t>fairhealth.dcc@gmaii.com</t>
  </si>
  <si>
    <t>+8801712278227, +88057162846</t>
  </si>
  <si>
    <t>11:00-15:00</t>
  </si>
  <si>
    <t>25.1008751</t>
  </si>
  <si>
    <t>89.0324686</t>
  </si>
  <si>
    <t>Joypurhat</t>
  </si>
  <si>
    <t>BD5038</t>
  </si>
  <si>
    <t>Shamsun Nahar Clinic, Bogura</t>
  </si>
  <si>
    <t>Dokkhin Thonthonia, Serpur Road, Bogura</t>
  </si>
  <si>
    <t>bs.snc64@gmaii.com</t>
  </si>
  <si>
    <t>+8801911254537, +8801751893546</t>
  </si>
  <si>
    <t>24.8320382</t>
  </si>
  <si>
    <t>89.3758453</t>
  </si>
  <si>
    <t>Sherpur Road, Bogura-5800</t>
  </si>
  <si>
    <t>+8809613787812</t>
  </si>
  <si>
    <t>24.8321803</t>
  </si>
  <si>
    <t>89.3760726</t>
  </si>
  <si>
    <t>Popular Diagnostic Center, Bogura</t>
  </si>
  <si>
    <t>house-612, Shershah Road, Rajpara, Laksmipur Rajshahi- 6000</t>
  </si>
  <si>
    <t>rajshahi@labaidgroup.com</t>
  </si>
  <si>
    <t>+8801766661144</t>
  </si>
  <si>
    <t>24.3719753</t>
  </si>
  <si>
    <t>88.5814269</t>
  </si>
  <si>
    <t>Lab Aid Diagnostic Center, Rajshahi</t>
  </si>
  <si>
    <t>Padma Clinic, Chapai- Nawabganj</t>
  </si>
  <si>
    <t>Hospital Road, Chapai Nawabganj</t>
  </si>
  <si>
    <t>+8801723300778, +8801941794931</t>
  </si>
  <si>
    <t>24.5840412</t>
  </si>
  <si>
    <t>88.2649313</t>
  </si>
  <si>
    <t>Nawabganj</t>
  </si>
  <si>
    <t>BD5070</t>
  </si>
  <si>
    <t>Enayet, Doyeler mor, Naogaon</t>
  </si>
  <si>
    <t>ibchnagoanltd@gmail.com</t>
  </si>
  <si>
    <t>+8801723300778, +8801749231529</t>
  </si>
  <si>
    <t>24.8192801</t>
  </si>
  <si>
    <t>88.9362027</t>
  </si>
  <si>
    <t>Naogaon</t>
  </si>
  <si>
    <t>BD5064</t>
  </si>
  <si>
    <t>Islami Bank Community Hospital, Naogaon Ltd.</t>
  </si>
  <si>
    <t>Zaman Pathology Rajshahi</t>
  </si>
  <si>
    <t>Psychiatric Services and Counseling</t>
  </si>
  <si>
    <t>23, Lakshmipur, Greater Road, Rajshahi.</t>
  </si>
  <si>
    <t>+8801723300778, +8801723300778</t>
  </si>
  <si>
    <t>24.3725421</t>
  </si>
  <si>
    <t>88.5834594</t>
  </si>
  <si>
    <t>Vobanigonj Bazar, Bagmara, Rajshahi</t>
  </si>
  <si>
    <t>jobayer9999@gmaii.com</t>
  </si>
  <si>
    <t>+8801719009087</t>
  </si>
  <si>
    <t>08:30-12:00</t>
  </si>
  <si>
    <t>Ma Clinic and Diagnostic Center Rajshahi</t>
  </si>
  <si>
    <t>Hospital Mor (2nd floor), Sadar Road, Joypurhat</t>
  </si>
  <si>
    <t>+8801737374012</t>
  </si>
  <si>
    <t>14:00-20:00</t>
  </si>
  <si>
    <t>25.102406</t>
  </si>
  <si>
    <t>89.0269453</t>
  </si>
  <si>
    <t>Anarkoli Lab and Consultation Center Joypurhat</t>
  </si>
  <si>
    <t>B-474, Lakshmipur, Rajshahi</t>
  </si>
  <si>
    <t>popularrajshahibranch@gmail.com</t>
  </si>
  <si>
    <t>+8809666787811</t>
  </si>
  <si>
    <t>24.3717927</t>
  </si>
  <si>
    <t>88.5818628</t>
  </si>
  <si>
    <t>Popular Diagnostic Center Ltd., Rajshahi</t>
  </si>
  <si>
    <t>Kajihata, Lakshmipur, Rajshahi</t>
  </si>
  <si>
    <t>+8801717283355, +8801977283353</t>
  </si>
  <si>
    <t>16:00-16:00</t>
  </si>
  <si>
    <t>24.3700837</t>
  </si>
  <si>
    <t>88.5813595</t>
  </si>
  <si>
    <t>Safe Life Diagnostic Center, Rajshahi</t>
  </si>
  <si>
    <t>Shershah road, Rajpara, Lakshmipur, Rajshahi-6000</t>
  </si>
  <si>
    <t>mdmunjurrahaman013@gmaii.com</t>
  </si>
  <si>
    <t>0174556057, +8801916313007</t>
  </si>
  <si>
    <t>14:00-15:00</t>
  </si>
  <si>
    <t>24.3723994</t>
  </si>
  <si>
    <t>88.5804968</t>
  </si>
  <si>
    <t>Rajshahi General Hospital and Diagnostic Center</t>
  </si>
  <si>
    <t>10:00-18:00</t>
  </si>
  <si>
    <t>24.3699138</t>
  </si>
  <si>
    <t>88.5874981</t>
  </si>
  <si>
    <t>Medi Path Diagnostic Center Rajshahi</t>
  </si>
  <si>
    <t>Band Road, Barishal.</t>
  </si>
  <si>
    <t>Barishal</t>
  </si>
  <si>
    <t>sbmc@ac.dghs.gov.bd</t>
  </si>
  <si>
    <t>+8804312173547</t>
  </si>
  <si>
    <t>22.6862428</t>
  </si>
  <si>
    <t>90.3614083</t>
  </si>
  <si>
    <t>BD10</t>
  </si>
  <si>
    <t>BD1006</t>
  </si>
  <si>
    <t>Sher-e-Bangla Medical College Hospital, Barishal</t>
  </si>
  <si>
    <t>Room no-217, Sher-E-Bangla Medical College Hospital</t>
  </si>
  <si>
    <t>sbkbarisalmch@gmail.com</t>
  </si>
  <si>
    <t>+8801733349680</t>
  </si>
  <si>
    <t>Child Development Center, Sher-e-Bangla Medical College Hospital Barishal</t>
  </si>
  <si>
    <t>Sher-E-Bangla Medical College Hospital.</t>
  </si>
  <si>
    <t>occ_bsi@yahoo.com</t>
  </si>
  <si>
    <t>+8801713366638</t>
  </si>
  <si>
    <t>One Stop Crisis Center, Sher-e-Bangla Medical College Hospital Barishal</t>
  </si>
  <si>
    <t>Patuakhali Medical College Hospital Patuakhali</t>
  </si>
  <si>
    <t>Patuakhali</t>
  </si>
  <si>
    <t>patuakhalimc@ac.dghs.gov.bd</t>
  </si>
  <si>
    <t>+8801705006606, +8802478835325</t>
  </si>
  <si>
    <t>22.3623335</t>
  </si>
  <si>
    <t>90.3269999</t>
  </si>
  <si>
    <t>BD1078</t>
  </si>
  <si>
    <t>Child Development Center, Patuakhali Medical College Hospital, Patuakhali</t>
  </si>
  <si>
    <t>Patuakhali Medical College Hospital</t>
  </si>
  <si>
    <t>Bell View Hospital Barishal</t>
  </si>
  <si>
    <t>114, Sadar Road Barishal.</t>
  </si>
  <si>
    <t>+88043162266, +8801733063692, +8801733063690</t>
  </si>
  <si>
    <t>22.7035091</t>
  </si>
  <si>
    <t>90.3704112</t>
  </si>
  <si>
    <t>109 &amp; 955 Shahid Nazrul Islam Sarak, South Alekanda, Bangla bazar, Barishal.</t>
  </si>
  <si>
    <t>https://www.populardiagnostic.com/our- branches/31/Barishal</t>
  </si>
  <si>
    <t>+8809666787819, +8809613787819</t>
  </si>
  <si>
    <t>22.6926182</t>
  </si>
  <si>
    <t>90.3618218</t>
  </si>
  <si>
    <t>Popular Diagnostic Center, Barishal</t>
  </si>
  <si>
    <t>Dream Life Drug Addiction Treatment Center, Barishal</t>
  </si>
  <si>
    <t>Rupatali, Battola, Barishal</t>
  </si>
  <si>
    <t>srabonbari2@gmaii.com</t>
  </si>
  <si>
    <t>+8801711102085, 01711103889.</t>
  </si>
  <si>
    <t>22.7132876</t>
  </si>
  <si>
    <t>90.3496278</t>
  </si>
  <si>
    <t>Holy Care Drug Addiction Treatment Center, Barishal</t>
  </si>
  <si>
    <t>Samsu Mia Garage, Nobogram Road, Barishal.</t>
  </si>
  <si>
    <t>https://www.holycare.org/</t>
  </si>
  <si>
    <t>holycare@gmail.com</t>
  </si>
  <si>
    <t>+8801915486836</t>
  </si>
  <si>
    <t>22.7021406</t>
  </si>
  <si>
    <t>90.3456454</t>
  </si>
  <si>
    <t>The New Life Drug Addiction Treatment Center, Barishal</t>
  </si>
  <si>
    <t>Rijia Mansion, 1 C &amp; B Pull, Barishal.</t>
  </si>
  <si>
    <t>newlifebsl@yahoo.com</t>
  </si>
  <si>
    <t>01713950941.</t>
  </si>
  <si>
    <t>22.69304</t>
  </si>
  <si>
    <t>90.354991</t>
  </si>
  <si>
    <t>Dhansiri, Saw Road, Barishal.</t>
  </si>
  <si>
    <t>+8801718188569</t>
  </si>
  <si>
    <t>22.7106906</t>
  </si>
  <si>
    <t>90.3748379</t>
  </si>
  <si>
    <t>CREA Barishal</t>
  </si>
  <si>
    <t>Dip Medicine House, Brain and Mind Care Barishal</t>
  </si>
  <si>
    <t>Hospital Road, Barishal.</t>
  </si>
  <si>
    <t>+8801978453982, +8801976673328, +8801972453982</t>
  </si>
  <si>
    <t>22.7094139</t>
  </si>
  <si>
    <t>90.367805</t>
  </si>
  <si>
    <t>Focus Diagnostic Center. Patuakhali</t>
  </si>
  <si>
    <t>New Market Patuakhali</t>
  </si>
  <si>
    <t>+8801791502503</t>
  </si>
  <si>
    <t>Every Month's Last Friday.</t>
  </si>
  <si>
    <t>22.3640071</t>
  </si>
  <si>
    <t>90.33825</t>
  </si>
  <si>
    <t>Lal Sabuj Society Barishal</t>
  </si>
  <si>
    <t>Mental Health Awareness Programs for School and College Students</t>
  </si>
  <si>
    <t>Rashidbagm C &amp; B Road Barishal</t>
  </si>
  <si>
    <t>http://www.Iss.org.bd/</t>
  </si>
  <si>
    <t>iaisabujsocietybd@gmaii.com</t>
  </si>
  <si>
    <t>+8801771184743</t>
  </si>
  <si>
    <t>22.6943808</t>
  </si>
  <si>
    <t>90.3545878</t>
  </si>
  <si>
    <t>Rangpur Medical College Hospital Rangpur</t>
  </si>
  <si>
    <t>Dhap, Rangpur</t>
  </si>
  <si>
    <t>Rangpur</t>
  </si>
  <si>
    <t>https://rpmc.edu.bd</t>
  </si>
  <si>
    <t>rangmch@hospi.dghs.gov.bd</t>
  </si>
  <si>
    <t>25.7671766</t>
  </si>
  <si>
    <t>89.231582</t>
  </si>
  <si>
    <t>BD55</t>
  </si>
  <si>
    <t>BD5585</t>
  </si>
  <si>
    <t>Regional Trauma Counseling Center, Rangpur Medical College Hospital Rangpur</t>
  </si>
  <si>
    <t>Ground floor, Rangpur Medical College Hospital</t>
  </si>
  <si>
    <t>https://www.mspvaw.bd.com</t>
  </si>
  <si>
    <t>+8801755584574</t>
  </si>
  <si>
    <t>Child Development Center, Rangpur Medical College Hospital, Rangpur</t>
  </si>
  <si>
    <t>Ground floor, Rangpur Medical College Hospital, Rangpur</t>
  </si>
  <si>
    <t>One Stop Crisis Center (OCC), Rangpur Medical College Hospital Rangpur</t>
  </si>
  <si>
    <t>Combined Military Hospital, Rangpur</t>
  </si>
  <si>
    <t>CMH, Cantonment Rangpur</t>
  </si>
  <si>
    <t>25.7645398</t>
  </si>
  <si>
    <t>89.2218892</t>
  </si>
  <si>
    <t>M. Abdur Rahim Medical College Hospital, Dinajpur</t>
  </si>
  <si>
    <t>Ground floor, M Abdur Rahim Medical College Hospital, Dinajpur</t>
  </si>
  <si>
    <t>25.6108563</t>
  </si>
  <si>
    <t>88.6554452</t>
  </si>
  <si>
    <t>Dinajpur</t>
  </si>
  <si>
    <t>BD5527</t>
  </si>
  <si>
    <t>Child Development Center, M Abdur Rahim Medical College Hospital Dinajpur</t>
  </si>
  <si>
    <t>1st floor, 113 no room, Dinajpur Medical College Hospital, Dinajpur</t>
  </si>
  <si>
    <t>sbkdinajpur@gmail.com</t>
  </si>
  <si>
    <t>+8801989514789</t>
  </si>
  <si>
    <t>207 no room, new building, 250 bedded general hospital kurigram</t>
  </si>
  <si>
    <t>+8801733349573</t>
  </si>
  <si>
    <t>25.8133074</t>
  </si>
  <si>
    <t>89.6482885</t>
  </si>
  <si>
    <t>Kurigram</t>
  </si>
  <si>
    <t>BD5549</t>
  </si>
  <si>
    <t>Child Development Center, 250 Bedded General Hospital Kurigram</t>
  </si>
  <si>
    <t>Child Development Center, Nilphamari Medical College Hospital, Nilphamari</t>
  </si>
  <si>
    <t>Nilphamari Medical College Hospital, Nilphamari</t>
  </si>
  <si>
    <t>nilphamari.govt.sbk@gmaii.com</t>
  </si>
  <si>
    <t>+8801733349577</t>
  </si>
  <si>
    <t>25.9662469</t>
  </si>
  <si>
    <t>88.8426489</t>
  </si>
  <si>
    <t>Nilphamari</t>
  </si>
  <si>
    <t>BD5573</t>
  </si>
  <si>
    <t>House no: 217, JNC Road, Thikadarpara mor, Alomnogor, Rangpur</t>
  </si>
  <si>
    <t>rangpurpsok@gmail.com</t>
  </si>
  <si>
    <t>+8801717247464</t>
  </si>
  <si>
    <t>25.8138365</t>
  </si>
  <si>
    <t>89.6405817</t>
  </si>
  <si>
    <t>Protibondhi Seba O Sahajhyo Kendro, Rangpur</t>
  </si>
  <si>
    <t>Shukh Santir bazar, Circuit house, Gaibandha</t>
  </si>
  <si>
    <t>gaibandhapsok@gmail.com</t>
  </si>
  <si>
    <t>+8801914171061</t>
  </si>
  <si>
    <t>25.3297044</t>
  </si>
  <si>
    <t>89.5428879</t>
  </si>
  <si>
    <t>Gaibandha</t>
  </si>
  <si>
    <t>BD5532</t>
  </si>
  <si>
    <t>Protibondhi Seba O Sahajhyo Kendro Gaibandha</t>
  </si>
  <si>
    <t>District Social Welfare complex, Ghoshipara, Dinajpur Sadar,</t>
  </si>
  <si>
    <t>dinajpurpsosk@gmail.com</t>
  </si>
  <si>
    <t>+8801788054445</t>
  </si>
  <si>
    <t>25.6221484</t>
  </si>
  <si>
    <t>88.6437963</t>
  </si>
  <si>
    <t>Protibondhi Seba O Sahajhyo Kendro, Jatio Protibondhi Unnoyon Foundation Dinajpur</t>
  </si>
  <si>
    <t>near Adhunik Sadar Hospital, Dhonipara Road, Nilphamari</t>
  </si>
  <si>
    <t>+8802589955353</t>
  </si>
  <si>
    <t>25.9362732</t>
  </si>
  <si>
    <t>88.8407037</t>
  </si>
  <si>
    <t>Protibondhi Seba O Sahajhyo Kendro Nilphamari</t>
  </si>
  <si>
    <t>Modhur mor, Nimbagan, Kurigram</t>
  </si>
  <si>
    <t>kurigramsodorpsosk@gmail.com</t>
  </si>
  <si>
    <t>0158162376</t>
  </si>
  <si>
    <t>Protibondhi Seba O Sahajhyo Kendro Kurigram</t>
  </si>
  <si>
    <t>Balatari, Lalmonirhat</t>
  </si>
  <si>
    <t>+8802589986757</t>
  </si>
  <si>
    <t>25.9188441</t>
  </si>
  <si>
    <t>89.4456566</t>
  </si>
  <si>
    <t>Lalmonirhat</t>
  </si>
  <si>
    <t>BD5552</t>
  </si>
  <si>
    <t>Protibondhi Seba O Sahajhyo Kendro Lalmonirhat</t>
  </si>
  <si>
    <t>Counseling, Physiotherapy, Occupational Therapy, Speech and Language Therapy</t>
  </si>
  <si>
    <t>Shantir mor, sadar, Thakurgaon</t>
  </si>
  <si>
    <t>thakurgaonpsosk@gmail.com</t>
  </si>
  <si>
    <t>+8801739195332</t>
  </si>
  <si>
    <t>26.0273645</t>
  </si>
  <si>
    <t>88.4646107</t>
  </si>
  <si>
    <t>Thakurgaon</t>
  </si>
  <si>
    <t>BD5594</t>
  </si>
  <si>
    <t>Protibondhi Seba O Sahajhyo Kendro, Thakurgaon</t>
  </si>
  <si>
    <t>Momotaz vila, Sadar, opposite to social service office, Panchagarh</t>
  </si>
  <si>
    <t>+8801717976251</t>
  </si>
  <si>
    <t>26.335376</t>
  </si>
  <si>
    <t>88.551698</t>
  </si>
  <si>
    <t>Panchagarh</t>
  </si>
  <si>
    <t>BD5577</t>
  </si>
  <si>
    <t>Protibondhi Seba O Sahajhyo Kendro Panchagarh</t>
  </si>
  <si>
    <t>Rangpur Cadet College, Rangpur</t>
  </si>
  <si>
    <t>Modern, Rangpur</t>
  </si>
  <si>
    <t>http://ccr.army.mil.bd/</t>
  </si>
  <si>
    <t>ccr_rangpur@yahoo.com</t>
  </si>
  <si>
    <t>+88052162002, +8801737322622</t>
  </si>
  <si>
    <t>25.7128673</t>
  </si>
  <si>
    <t>89.2595597</t>
  </si>
  <si>
    <t>Cantonment Public School and College Rangpur</t>
  </si>
  <si>
    <t>Cantonment, Rangpur</t>
  </si>
  <si>
    <t>http://cpscr.edu.bd</t>
  </si>
  <si>
    <t>+8801769665430</t>
  </si>
  <si>
    <t>8 a.m.-2.p.m (closed on Friday, Saturday and</t>
  </si>
  <si>
    <t>25.7643425</t>
  </si>
  <si>
    <t>89.2301331</t>
  </si>
  <si>
    <t>Prime Medical College and Hospital, Rangpur</t>
  </si>
  <si>
    <t>Rangpur Medical College Hospital, Pirjabad, Badorgonj Road,</t>
  </si>
  <si>
    <t>pmcrangpur@gmail.com, info@pmcbd.org</t>
  </si>
  <si>
    <t>+8801730033166, +8801882004480</t>
  </si>
  <si>
    <t>25.7437952</t>
  </si>
  <si>
    <t>89.2222817</t>
  </si>
  <si>
    <t>Brain and Mind Consultation and Diagnostic Center, Rangpur</t>
  </si>
  <si>
    <t>Dhap, Jail Road, Rangpur</t>
  </si>
  <si>
    <t>+8801712087803, +8801308123453</t>
  </si>
  <si>
    <t>15:00-22:00</t>
  </si>
  <si>
    <t>25.7619207</t>
  </si>
  <si>
    <t>89.2360613</t>
  </si>
  <si>
    <t>Dhap, jail road, Rangpur</t>
  </si>
  <si>
    <t>+8801703708985</t>
  </si>
  <si>
    <t>25.7620497</t>
  </si>
  <si>
    <t>89.2353452</t>
  </si>
  <si>
    <t>LABAID Ltd. Diagnostic Center, Rangpur</t>
  </si>
  <si>
    <t>Popular Diagnostic Center, Rangpur</t>
  </si>
  <si>
    <t>+8809666787813</t>
  </si>
  <si>
    <t>25.7610554</t>
  </si>
  <si>
    <t>89.237082</t>
  </si>
  <si>
    <t>Advanced Diagnostic Center, Rangpur</t>
  </si>
  <si>
    <t>+8801881907348</t>
  </si>
  <si>
    <t>25.7607557</t>
  </si>
  <si>
    <t>89.2377184</t>
  </si>
  <si>
    <t>Dhap, Medical More, Opposite of Cantonment Public School, Rangpur</t>
  </si>
  <si>
    <t>+8801711459959</t>
  </si>
  <si>
    <t>25.7641456</t>
  </si>
  <si>
    <t>89.2319315</t>
  </si>
  <si>
    <t>Sun Diagnostic Center, Rangpur</t>
  </si>
  <si>
    <t>Prescription Point Diagnostic Center Rangpur</t>
  </si>
  <si>
    <t>Cantonment Public School Link Road, Rangpur</t>
  </si>
  <si>
    <t>+8801711143291, 0131979555</t>
  </si>
  <si>
    <t>25.764</t>
  </si>
  <si>
    <t>89.2322</t>
  </si>
  <si>
    <t>Shitol Cantonment General Hospital, Rangpur</t>
  </si>
  <si>
    <t>1 no Checpost, opposite of Cantonment, Rangpur</t>
  </si>
  <si>
    <t>+8801318336191, +8801318336192</t>
  </si>
  <si>
    <t>25.8470422758382</t>
  </si>
  <si>
    <t>89.045901704</t>
  </si>
  <si>
    <t>+8801706851495</t>
  </si>
  <si>
    <t>16:00-22:00</t>
  </si>
  <si>
    <t>25.762946363605</t>
  </si>
  <si>
    <t>89.23467039481</t>
  </si>
  <si>
    <t>Dhap Scientific Lab Rangpur</t>
  </si>
  <si>
    <t>Sushasthyo Diagnostic Center Rangpur</t>
  </si>
  <si>
    <t>+8801777337089</t>
  </si>
  <si>
    <t>25.7626444921639</t>
  </si>
  <si>
    <t>89.2363828754</t>
  </si>
  <si>
    <t>City Lab, Rangpur</t>
  </si>
  <si>
    <t>Dhap, Shyamoli Lane, near to police Fari, Rangpur</t>
  </si>
  <si>
    <t>+8801739542674, +8801843881718</t>
  </si>
  <si>
    <t>25.7616</t>
  </si>
  <si>
    <t>89.2346</t>
  </si>
  <si>
    <t>mindcareservice2021@gmaii.com</t>
  </si>
  <si>
    <t>+8801797929534, +8801761362020</t>
  </si>
  <si>
    <t>25.763</t>
  </si>
  <si>
    <t>89.2328</t>
  </si>
  <si>
    <t>Patient Diagnostic Center, Rangpur</t>
  </si>
  <si>
    <t>Rangpur Digital Diagnostic Center Rangpur</t>
  </si>
  <si>
    <t>Shah Murad Complex, 1st floor, adjacent to over bridge, opposite of Cantonment Public School, Dhap, Rangpur</t>
  </si>
  <si>
    <t>+8801723672651</t>
  </si>
  <si>
    <t>16:00-19:00</t>
  </si>
  <si>
    <t>25.7645934734626</t>
  </si>
  <si>
    <t>89.23158429481</t>
  </si>
  <si>
    <t>Gonesh Clab mor, Mordern road, Tarminal Rangpur</t>
  </si>
  <si>
    <t>+8801731014014</t>
  </si>
  <si>
    <t>25.7505</t>
  </si>
  <si>
    <t>89.2309</t>
  </si>
  <si>
    <t>S.M Bandon Drug Rehabilitation Center Rangpur</t>
  </si>
  <si>
    <t>Emon Drugs, Saidpur</t>
  </si>
  <si>
    <t>Station Road, Near Bizli Cinema, Saidpur</t>
  </si>
  <si>
    <t>+8801715593093</t>
  </si>
  <si>
    <t>25.7921</t>
  </si>
  <si>
    <t>88.8911</t>
  </si>
  <si>
    <t>Nova Drugs, Saidpur</t>
  </si>
  <si>
    <t>Syedpur Plaza, Cinema Road, Syedpur</t>
  </si>
  <si>
    <t>on the spot serial.</t>
  </si>
  <si>
    <t>07:00-16:00</t>
  </si>
  <si>
    <t>25.7822</t>
  </si>
  <si>
    <t>88.8963</t>
  </si>
  <si>
    <t>Punorvoba Diagnostic Center Dinajpur</t>
  </si>
  <si>
    <t>Poshu Hospital Mor, Balubari, Dinajpur</t>
  </si>
  <si>
    <t>+8801785456830</t>
  </si>
  <si>
    <t>25.6277178442085</t>
  </si>
  <si>
    <t>88.63937872364</t>
  </si>
  <si>
    <t>Fair X-ray and Pathology Thakurgon</t>
  </si>
  <si>
    <t>Clinic Lane, Hazipara, Thakurgon</t>
  </si>
  <si>
    <t>+8801773565648</t>
  </si>
  <si>
    <t>26.0290765127065</t>
  </si>
  <si>
    <t>88.47410944064</t>
  </si>
  <si>
    <t>Nazma Diagnostic Center, Dinajpur</t>
  </si>
  <si>
    <t>Islampur Supermarket, Birampur, Dinajpur</t>
  </si>
  <si>
    <t>+8801770254434</t>
  </si>
  <si>
    <t>25.3933924233874</t>
  </si>
  <si>
    <t>88.99350872364</t>
  </si>
  <si>
    <t>Seba Diagnostic Dinajpur</t>
  </si>
  <si>
    <t>Charubabur More, Dinajpur</t>
  </si>
  <si>
    <t>+8801764197461</t>
  </si>
  <si>
    <t>25.6348141869285</t>
  </si>
  <si>
    <t>88.63739668</t>
  </si>
  <si>
    <t>Haque Diagnostic Center, Kurigram</t>
  </si>
  <si>
    <t>Sodor Hospital Road, Kurigram</t>
  </si>
  <si>
    <t>+8801748939123, +8801819859924</t>
  </si>
  <si>
    <t>25.5718297784399</t>
  </si>
  <si>
    <t>89.831426081</t>
  </si>
  <si>
    <t>Friends' Apollo Hospital and Diagnostic Center, Thakurgaon</t>
  </si>
  <si>
    <t>Bangabondhu Sarak, opposite of fire service, Tahkurgonj</t>
  </si>
  <si>
    <t>+8801919775074</t>
  </si>
  <si>
    <t>26.0294329861352</t>
  </si>
  <si>
    <t>88.474179239</t>
  </si>
  <si>
    <t>Update Diagnostic and Consultation Center, Phanchogarh</t>
  </si>
  <si>
    <t>M.R College more, Tetulia Road, Phanchogarh</t>
  </si>
  <si>
    <t>+8801715155619, +8801716595998</t>
  </si>
  <si>
    <t>26.3382398824942</t>
  </si>
  <si>
    <t>88.555656923</t>
  </si>
  <si>
    <t>Old bus stand, near to stuff quarter, Sodor, Nilphamari</t>
  </si>
  <si>
    <t>+8801775516858</t>
  </si>
  <si>
    <t>25.9264166091809</t>
  </si>
  <si>
    <t>88.8597708101</t>
  </si>
  <si>
    <t>Pacific Lab Zone Nilphamari</t>
  </si>
  <si>
    <t>New Medinova Doctors Zone and Diagnostic Center Thakurgon</t>
  </si>
  <si>
    <t>B.B road, Infront of Balaka hall, Thakurgon</t>
  </si>
  <si>
    <t>+8801767237745</t>
  </si>
  <si>
    <t>10 a.m.- 5.p.m. (only Fridays)</t>
  </si>
  <si>
    <t>26.0298964605443</t>
  </si>
  <si>
    <t>88.47148912552</t>
  </si>
  <si>
    <t>NCO Community Hospital, Kurigram</t>
  </si>
  <si>
    <t>Child Psychology Services</t>
  </si>
  <si>
    <t>NCD Community Hospital, Kurigram</t>
  </si>
  <si>
    <t>+8801815777316, +8801740357250</t>
  </si>
  <si>
    <t>25.8084</t>
  </si>
  <si>
    <t>89.6456</t>
  </si>
  <si>
    <t>A.R General Hospital, Nilphamari</t>
  </si>
  <si>
    <t>Adhunik Sadar Hospital Sarak, Nilphamari</t>
  </si>
  <si>
    <t>+8801714131212</t>
  </si>
  <si>
    <t>25.9311223718097</t>
  </si>
  <si>
    <t>88.85083172366</t>
  </si>
  <si>
    <t>Comfort Diagnostic Center, Thakurgaon</t>
  </si>
  <si>
    <t>Services for School Students and Parents Only</t>
  </si>
  <si>
    <t>Thakurgaon Sadar, Thakurgon</t>
  </si>
  <si>
    <t>+8801723895326</t>
  </si>
  <si>
    <t>26.0287442584071</t>
  </si>
  <si>
    <t>88.47411042366</t>
  </si>
  <si>
    <t>Institute of Education Development, Brac Rangpur</t>
  </si>
  <si>
    <t>Darsona, Ghagotpara, Rangpur sadar, Rangpur</t>
  </si>
  <si>
    <t>+8801318145159</t>
  </si>
  <si>
    <t>25.7151</t>
  </si>
  <si>
    <t>89.2484</t>
  </si>
  <si>
    <t>Terre Des Hommes Kurigram</t>
  </si>
  <si>
    <t>Hospital Road, Sadar, Kurigram</t>
  </si>
  <si>
    <t>+8801861404146</t>
  </si>
  <si>
    <t>25.8092744964676</t>
  </si>
  <si>
    <t>89.6436243157</t>
  </si>
  <si>
    <t>Sylhet MAG Osmani Medical College Hospital</t>
  </si>
  <si>
    <t>Department of Psychiatry, 3rd Floor of outdoor building, Sylhet MAG Osmani Medical College Hospital, Kajolshah, Sylhet 3100</t>
  </si>
  <si>
    <t>Sylhet</t>
  </si>
  <si>
    <t>https://www.magosmanimedicaI.com</t>
  </si>
  <si>
    <t>magomch@hospi.dghs.gov.bd</t>
  </si>
  <si>
    <t>+880821713667, +8801716114516</t>
  </si>
  <si>
    <t>24.9004166</t>
  </si>
  <si>
    <t>91.8523425</t>
  </si>
  <si>
    <t>BD60</t>
  </si>
  <si>
    <t>BD6091</t>
  </si>
  <si>
    <t>Regional Trauma Counseling Center Sylhet</t>
  </si>
  <si>
    <t>Sylhet MAG Osmani Medical College Hospital, SyIhet_3100</t>
  </si>
  <si>
    <t>+880821713667</t>
  </si>
  <si>
    <t>24.9047808</t>
  </si>
  <si>
    <t>91.8600079</t>
  </si>
  <si>
    <t>Shishu Bikash Kendra</t>
  </si>
  <si>
    <t>Shishu Bikash Kendra, Department of Pediatrics, 2nd floor of outdoor building, Sylhet MAG Osmani Medical College Hospital, Kajolshah, Sylhet-3100.</t>
  </si>
  <si>
    <t>sbk_syihet_mch@yahoo.com</t>
  </si>
  <si>
    <t>+8801733349056</t>
  </si>
  <si>
    <t>24.9005599651596</t>
  </si>
  <si>
    <t>91.85236229744</t>
  </si>
  <si>
    <t>Ali View, 6 no. Taltola Abashik Elaka (Bangladesh Bank er pasher goli), Sylhet-3100</t>
  </si>
  <si>
    <t>https://www.msw.gov.bd</t>
  </si>
  <si>
    <t>+880821728680, +8801722027949, +8801721130723</t>
  </si>
  <si>
    <t>Protibondhi Sheba O Shahajjo Kendra, Sylhet</t>
  </si>
  <si>
    <t>Hazi Chaim Ullah Complex (Pach Tola Bari), Purbo Janaiya Road, Bisshonath-3130, Sylhet</t>
  </si>
  <si>
    <t>+8801918843130, +8801717640903</t>
  </si>
  <si>
    <t>Protibondhi Sheba O Shahajjo Kendra, Bisshonath, Sylhet</t>
  </si>
  <si>
    <t>Students Counseling and Guidance Office (SUST)</t>
  </si>
  <si>
    <t>Shahjalal University of Science and Technology, Sylhet-3114, Bangladesh.</t>
  </si>
  <si>
    <t>dscg@sust.edu</t>
  </si>
  <si>
    <t>•  Visiting hours: 8 a.m. — 5 p.m. (except Friday and government holidays)</t>
  </si>
  <si>
    <t>24.917459847423</t>
  </si>
  <si>
    <t>91.831914925</t>
  </si>
  <si>
    <t>Jalalabad Ragib Rabeya Medical College, Sylhet</t>
  </si>
  <si>
    <t>Ragib Rabeya Medical College Road, Pathantuly, Sylhet</t>
  </si>
  <si>
    <t>https://jrrmc.edu.bd</t>
  </si>
  <si>
    <t>jrrmc@btsnet.net</t>
  </si>
  <si>
    <t>+8808217190906</t>
  </si>
  <si>
    <t>24.9133883</t>
  </si>
  <si>
    <t>91.8524011</t>
  </si>
  <si>
    <t>Northeast Medical College and Hospital Sylhet</t>
  </si>
  <si>
    <t>South Surma, Sylhet-3100</t>
  </si>
  <si>
    <t>https://www.nemc.edu.bd</t>
  </si>
  <si>
    <t>info@nemc.edu.bd, nemc1998@gmaiI.com</t>
  </si>
  <si>
    <t>+8801715944733, +8801794448905</t>
  </si>
  <si>
    <t>10:00-13:00</t>
  </si>
  <si>
    <t>24.8645004</t>
  </si>
  <si>
    <t>91.8573209</t>
  </si>
  <si>
    <t>Sylhet Women's Medical College Hospital</t>
  </si>
  <si>
    <t>Mirboxtola, SyIhet-3100</t>
  </si>
  <si>
    <t>https://www.swmc.edu.bd</t>
  </si>
  <si>
    <t>info@swmc.edu.bd</t>
  </si>
  <si>
    <t>+8802996636122, +8802996636123</t>
  </si>
  <si>
    <t>08:00-13:00</t>
  </si>
  <si>
    <t>24.8985456</t>
  </si>
  <si>
    <t>91.8725376</t>
  </si>
  <si>
    <t>Parkview Medical College and Hospital Sylhet</t>
  </si>
  <si>
    <t>VIP Road, Taltola, Sylhet-3100</t>
  </si>
  <si>
    <t>https://www.pmch.edu.bd</t>
  </si>
  <si>
    <t>pmcsyihet2013@gmaii.com</t>
  </si>
  <si>
    <t>+8801746094823, +8801849868959</t>
  </si>
  <si>
    <t>10:00-12:00</t>
  </si>
  <si>
    <t>24.8906661</t>
  </si>
  <si>
    <t>91.8625256</t>
  </si>
  <si>
    <t>Subhanighat Point, Sylhet-3100</t>
  </si>
  <si>
    <t>https://www.ibnsinahospitalsylhet.com.bd</t>
  </si>
  <si>
    <t>info@ibnsinahospitalsylhet.com.bd</t>
  </si>
  <si>
    <t>+8809696300300, +8801711405834</t>
  </si>
  <si>
    <t>11:00-22:00</t>
  </si>
  <si>
    <t>24.8916936</t>
  </si>
  <si>
    <t>91.8774737</t>
  </si>
  <si>
    <t>Ibn Sina Hospital Sylhet Ltd.</t>
  </si>
  <si>
    <t>Mount Adora Hospital, Akhalia Sylhet</t>
  </si>
  <si>
    <t>Akhalia, Sylhet-3100</t>
  </si>
  <si>
    <t>https://www.mountadora.com</t>
  </si>
  <si>
    <t>info@mountadora.com</t>
  </si>
  <si>
    <t>+8809687225566</t>
  </si>
  <si>
    <t>24.9096149</t>
  </si>
  <si>
    <t>91.8441092</t>
  </si>
  <si>
    <t>Oasis Hospital Sylhet</t>
  </si>
  <si>
    <t>Subhanighat, Sylhet-3100</t>
  </si>
  <si>
    <t>https://www.oasishospitaIbd.com</t>
  </si>
  <si>
    <t>oasishospitals@gmail.com</t>
  </si>
  <si>
    <t>+8801611990000</t>
  </si>
  <si>
    <t>24.8879583</t>
  </si>
  <si>
    <t>91.8800826</t>
  </si>
  <si>
    <t>Sylhet Monorog Hospital</t>
  </si>
  <si>
    <t>80, Sagordighipar, Bornomala Point, Bagbari Road, Sylhet</t>
  </si>
  <si>
    <t>+8801700932066</t>
  </si>
  <si>
    <t>18:00-21:00</t>
  </si>
  <si>
    <t>24.9057317</t>
  </si>
  <si>
    <t>91.8531157</t>
  </si>
  <si>
    <t>Trust Medical Services, Sylhet</t>
  </si>
  <si>
    <t>16, Modhushahid, Osmani Medical Road, Sylhet-3100</t>
  </si>
  <si>
    <t>trustmedical.syihet@gmaii.com</t>
  </si>
  <si>
    <t>+880821728930, +8801926677791</t>
  </si>
  <si>
    <t>24.8983465</t>
  </si>
  <si>
    <t>91.8601138</t>
  </si>
  <si>
    <t>Ibn Sina Diagnostic and Consultation Center, Sylhet</t>
  </si>
  <si>
    <t>New Medical Road, Rikabi Bazar, Sylhet-3100</t>
  </si>
  <si>
    <t>+8801708399304</t>
  </si>
  <si>
    <t>24.8987436</t>
  </si>
  <si>
    <t>91.8613229</t>
  </si>
  <si>
    <t>New Medical Road, Kajolshah, Sylhet-3100</t>
  </si>
  <si>
    <t>https://www.popuIarsyIhet.com</t>
  </si>
  <si>
    <t>popuIarsyIhet2005@gmaiI.com, info@popularsylhet.com</t>
  </si>
  <si>
    <t>+8801715084078</t>
  </si>
  <si>
    <t>24.8993411</t>
  </si>
  <si>
    <t>91.8574334</t>
  </si>
  <si>
    <t>Popular Medical Center Ltd. Sylhet</t>
  </si>
  <si>
    <t>Shunamgonj Road, Akhaliaghat, Sylhet 3100</t>
  </si>
  <si>
    <t>https://www.smhrcbd.org</t>
  </si>
  <si>
    <t>smhrc.syi@gmaii.com</t>
  </si>
  <si>
    <t>+8801743849275</t>
  </si>
  <si>
    <t>14:00-21:00</t>
  </si>
  <si>
    <t>24.9091772</t>
  </si>
  <si>
    <t>91.8393705</t>
  </si>
  <si>
    <t>Shahjalal Mental Health and Research Center, Sylhet</t>
  </si>
  <si>
    <t>LABAID Diagnostic Sylhet</t>
  </si>
  <si>
    <t>+8801766662727</t>
  </si>
  <si>
    <t>24.8990855</t>
  </si>
  <si>
    <t>91.8563394</t>
  </si>
  <si>
    <t>R R Medical Hospital Sylhet</t>
  </si>
  <si>
    <t>Physiotherapy, Occupational Therapy, Speech and Language Therapy</t>
  </si>
  <si>
    <t>Kazi Elias, Zindabazar, Sylhet-3100</t>
  </si>
  <si>
    <t>+8801765883882, +880821712578</t>
  </si>
  <si>
    <t>17:00-22:00</t>
  </si>
  <si>
    <t>Aahban Psychotherapy and Counseling Center Sylhet</t>
  </si>
  <si>
    <t>Child Psychology and Developmental Therapy</t>
  </si>
  <si>
    <t>House-11, Road-4, Block-A, Shahjalal Uposhohor, Sylhet</t>
  </si>
  <si>
    <t>https://www.aahban.org</t>
  </si>
  <si>
    <t>+8801647068864, +8801684340534</t>
  </si>
  <si>
    <t>ABC Point, Shahjalal Upashahar Main Road, Sylhet</t>
  </si>
  <si>
    <t>https://www.crp-bangIadesh.org</t>
  </si>
  <si>
    <t>syihet@crp-bangiadesh.org</t>
  </si>
  <si>
    <t>+8801730059512</t>
  </si>
  <si>
    <t>Center for Rehabilitation for the Paralyzed (CRP Sylhet - Iskandar Shitara Center)</t>
  </si>
  <si>
    <t>Shishu Bikash Kendra Moulavibazar</t>
  </si>
  <si>
    <t>250 Bed General Hospital, Moulvibazar</t>
  </si>
  <si>
    <t>+8801733349612</t>
  </si>
  <si>
    <t>24.485853</t>
  </si>
  <si>
    <t>91.7764601</t>
  </si>
  <si>
    <t>Maulvibazar</t>
  </si>
  <si>
    <t>BD6058</t>
  </si>
  <si>
    <t>451/1, Old Hospital Road, Chomor Kuthir, Moulvibazar Sadar, Moulvibazar.</t>
  </si>
  <si>
    <t>+8801734335655, +8801911788325, +8801673328960</t>
  </si>
  <si>
    <t>Protibondhi Sheba O Shahajjo Kendra Moulvibazar</t>
  </si>
  <si>
    <t>Court Road, Rajnagar, Moulavibazar</t>
  </si>
  <si>
    <t>+8801913552260, +8801717594253</t>
  </si>
  <si>
    <t>24.5602532380586</t>
  </si>
  <si>
    <t>91.8708452858</t>
  </si>
  <si>
    <t>Protibondhi Sheba O Shahajjo Kendra Rajnagar</t>
  </si>
  <si>
    <t>One-stop Crisis Center, Moulavibazar</t>
  </si>
  <si>
    <t>250 Bed General Hospital, Moulavibazar</t>
  </si>
  <si>
    <t>•  Visiting hours: 8 a.m. —2 p.m. (except Friday and government holidays)</t>
  </si>
  <si>
    <t>Sreemangal Road, Moulovibazar</t>
  </si>
  <si>
    <t>•  Contact No.: 01710-812479</t>
  </si>
  <si>
    <t>+8801710812479</t>
  </si>
  <si>
    <t>24.475259</t>
  </si>
  <si>
    <t>91.7652784</t>
  </si>
  <si>
    <t>Nova Multicare Diagnostic Center</t>
  </si>
  <si>
    <t>The Pulse Computerized Diagnostic Center</t>
  </si>
  <si>
    <t>+8801716348035</t>
  </si>
  <si>
    <t>24.4818368</t>
  </si>
  <si>
    <t>91.7656054</t>
  </si>
  <si>
    <t>Doctors Diagnostic Center</t>
  </si>
  <si>
    <t>30, Srimangal Road, Berirpar, Moulvibazar</t>
  </si>
  <si>
    <t>+8801765726010</t>
  </si>
  <si>
    <t>17:00-17:00</t>
  </si>
  <si>
    <t>24.899122901</t>
  </si>
  <si>
    <t>91.863483637</t>
  </si>
  <si>
    <t>Sreemangal Road, Berirpar, Moulvibazar</t>
  </si>
  <si>
    <t>+8801718005011</t>
  </si>
  <si>
    <t>24.4850317</t>
  </si>
  <si>
    <t>91.765768</t>
  </si>
  <si>
    <t>Royal Multicare Diagnostic and Consultation Center</t>
  </si>
  <si>
    <t>30, Sreemangal Road, Moulvibazar</t>
  </si>
  <si>
    <t>+8801727404384</t>
  </si>
  <si>
    <t>24.4836958</t>
  </si>
  <si>
    <t>91.7653683</t>
  </si>
  <si>
    <t>Health Aid Diagnostic and Consultation Center</t>
  </si>
  <si>
    <t>Capital Diagnostic and Consultation Center</t>
  </si>
  <si>
    <t>Sreemangal Road, Moulvibazar</t>
  </si>
  <si>
    <t>+8801776600607, +8801759165319</t>
  </si>
  <si>
    <t>24.479128</t>
  </si>
  <si>
    <t>91.765293</t>
  </si>
  <si>
    <t>Modern Diagnostic and Consultation Center</t>
  </si>
  <si>
    <t>Sreemangal Road, Berir par, Moulvibazar</t>
  </si>
  <si>
    <t>+8801741855080, +8801321230520</t>
  </si>
  <si>
    <t>24.4846857</t>
  </si>
  <si>
    <t>91.7656468</t>
  </si>
  <si>
    <t>Nitessor, Mokambazar (Sreemangol Road), Giasnagar Union, Moulvibazar Sadar, Moulvibazar</t>
  </si>
  <si>
    <t>mouivibazar@crp-bangiadesh.org</t>
  </si>
  <si>
    <t>+8801730059628</t>
  </si>
  <si>
    <t>08:00-13:30</t>
  </si>
  <si>
    <t>24.4842661</t>
  </si>
  <si>
    <t>91.768487</t>
  </si>
  <si>
    <t>Center for Rehabilitation for the Paralyzed (CRP Moulvibazar - Afsarul and Aktarul Haque Center)</t>
  </si>
  <si>
    <t>Gobindapur,KuIaura,Moulvibazar</t>
  </si>
  <si>
    <t>gobindapur@crp-bangiadesh.org</t>
  </si>
  <si>
    <t>+8801730059542</t>
  </si>
  <si>
    <t>8 a.m. — 5.p.m. (Saturday to Wednesday) &amp;</t>
  </si>
  <si>
    <t>24.5466404</t>
  </si>
  <si>
    <t>91.9596813</t>
  </si>
  <si>
    <t>Center for Rehabilitation for the Paralyzed (CRP Gobindapur, Moulvibazar)</t>
  </si>
  <si>
    <t>Haven Psychotherapy and Counseling Center</t>
  </si>
  <si>
    <t>Khaleda Yeasmin Villa, Shah Mostofa Housing, Pagulia Road (Behind Dhaka Bus Stand), Moulvibazar Sadar, Moulvibazar.</t>
  </si>
  <si>
    <t>+8801684340534</t>
  </si>
  <si>
    <t>24.4743</t>
  </si>
  <si>
    <t>91.7629</t>
  </si>
  <si>
    <t>Brain Care Center</t>
  </si>
  <si>
    <t>Dokkhin Bazar, Kulaura.</t>
  </si>
  <si>
    <t>+8801779986104</t>
  </si>
  <si>
    <t>24.52362893</t>
  </si>
  <si>
    <t>92.03327205</t>
  </si>
  <si>
    <t>Chunarughat, Habigaj</t>
  </si>
  <si>
    <t>+8801717971240, +8801715495295, +8801736986367</t>
  </si>
  <si>
    <t>24.1973581</t>
  </si>
  <si>
    <t>91.5172315</t>
  </si>
  <si>
    <t>Habiganj</t>
  </si>
  <si>
    <t>BD6036</t>
  </si>
  <si>
    <t>Protibondhi Sheba O Shahajjo Kendra (Chunarughat)</t>
  </si>
  <si>
    <t>Madhobpur Bazar, Madhobpur, Habigaj</t>
  </si>
  <si>
    <t>+8801746510869, +8801686263277, +8801716778399</t>
  </si>
  <si>
    <t>24.0998223</t>
  </si>
  <si>
    <t>91.2963269</t>
  </si>
  <si>
    <t>Protibondhi Sheba O Shahajjo Kendra (Madhobpur)</t>
  </si>
  <si>
    <t>House no.- 7234, Ward no.- 09, Shayestaganj Traffic Point (In front of J K High School), Habiganj Pouroshova, Habiganj</t>
  </si>
  <si>
    <t>+8801723484097, +8801911196773, +8801720832237</t>
  </si>
  <si>
    <t>24.3896201</t>
  </si>
  <si>
    <t>91.4126221</t>
  </si>
  <si>
    <t>Protibondhi Sheba O Shahajjo Kendra (Habiganj)</t>
  </si>
  <si>
    <t>Moon General Hospital</t>
  </si>
  <si>
    <t>Shayestanagar, Habiganj (West side of graveyard)</t>
  </si>
  <si>
    <t>moongeneralhospitalhabigonj@gmail.com</t>
  </si>
  <si>
    <t>+8801773741074, +8801704198584, +8801318255360</t>
  </si>
  <si>
    <t>Friday (10 a.m. —4. p.m.)</t>
  </si>
  <si>
    <t>24.367188</t>
  </si>
  <si>
    <t>91.418688</t>
  </si>
  <si>
    <t>AK Hospital</t>
  </si>
  <si>
    <t>Nazir Super Market, Habiganj</t>
  </si>
  <si>
    <t>+8801767495924</t>
  </si>
  <si>
    <t>1st and 4th Friday of every month</t>
  </si>
  <si>
    <t>24.3703447153944</t>
  </si>
  <si>
    <t>91.416703537095</t>
  </si>
  <si>
    <t>Old Hospital Road, Shobujbag, Habiganj</t>
  </si>
  <si>
    <t>+8801724099003</t>
  </si>
  <si>
    <t>24.9005743501229</t>
  </si>
  <si>
    <t>91.86962505245</t>
  </si>
  <si>
    <t>United General Hospital Pvt. Ltd.</t>
  </si>
  <si>
    <t>Avijatri 10 Aa/A Jail Riad, Teghoria, Shunamgaj Sadar, Sunamganj.</t>
  </si>
  <si>
    <t>+8801717551589, +8801735678356, +8801725151051</t>
  </si>
  <si>
    <t>25.0713884</t>
  </si>
  <si>
    <t>91.3992465</t>
  </si>
  <si>
    <t>Sunamganj</t>
  </si>
  <si>
    <t>BD6090</t>
  </si>
  <si>
    <t>Protibondhi Sheba O Shahajjo Kendra (Sunamganj)</t>
  </si>
  <si>
    <t>Human Lab</t>
  </si>
  <si>
    <t>Old Bus Stand, Sunamganj Sadar.</t>
  </si>
  <si>
    <t>+8801740576938</t>
  </si>
  <si>
    <t>13:00-17:00</t>
  </si>
  <si>
    <t>25.0700382653884</t>
  </si>
  <si>
    <t>91.39702725</t>
  </si>
  <si>
    <t>Khulna Medical College &amp; Hospital, Boyra Main Road, Khulna</t>
  </si>
  <si>
    <t>Khulna</t>
  </si>
  <si>
    <t>http://kmc.gsov.bd/</t>
  </si>
  <si>
    <t>+88041760350</t>
  </si>
  <si>
    <t>22.8281662</t>
  </si>
  <si>
    <t>89.5371409</t>
  </si>
  <si>
    <t>BD40</t>
  </si>
  <si>
    <t>BD4047</t>
  </si>
  <si>
    <t>Khulna Medical College and Hospital</t>
  </si>
  <si>
    <t>Regional Trauma Counseling Center, Khulna</t>
  </si>
  <si>
    <t>Psychotherapy, Medical Treatment, and Legal Support</t>
  </si>
  <si>
    <t>Ground floor, Khulna medical college hospital</t>
  </si>
  <si>
    <t>22.8282373</t>
  </si>
  <si>
    <t>89.5368201</t>
  </si>
  <si>
    <t>Child Development Center, Khulna</t>
  </si>
  <si>
    <t>Second floor, Khulna Medical College Hospital</t>
  </si>
  <si>
    <t>22.8373287</t>
  </si>
  <si>
    <t>89.5400472</t>
  </si>
  <si>
    <t>One Stop Crisis Center (OCC), , Khulna</t>
  </si>
  <si>
    <t>Ground floor, Khulna Medical College Hospital</t>
  </si>
  <si>
    <t>Shatkhira Medical College Hospital.</t>
  </si>
  <si>
    <t>satkhiramch@hospi.dghs.gov.bd</t>
  </si>
  <si>
    <t>+8801727739282</t>
  </si>
  <si>
    <t>22.6902335</t>
  </si>
  <si>
    <t>89.0471125</t>
  </si>
  <si>
    <t>Satkhira</t>
  </si>
  <si>
    <t>BD4087</t>
  </si>
  <si>
    <t>CDC, Shatkhira Medical College and Hospital</t>
  </si>
  <si>
    <t>Dhaka - Kushtia Highway, Kushtia</t>
  </si>
  <si>
    <t>kushtiamch@hospi.dghs.gov.bd</t>
  </si>
  <si>
    <t>Medical College Office: 01722953680</t>
  </si>
  <si>
    <t>23.8881202</t>
  </si>
  <si>
    <t>89.1414551</t>
  </si>
  <si>
    <t>Kushtia</t>
  </si>
  <si>
    <t>BD4050</t>
  </si>
  <si>
    <t>Kushtia Medical College and Hospital</t>
  </si>
  <si>
    <t>Army Medical College, Jessore (AMC)</t>
  </si>
  <si>
    <t>23.1711835</t>
  </si>
  <si>
    <t>89.18039</t>
  </si>
  <si>
    <t>Jashore</t>
  </si>
  <si>
    <t>BD4041</t>
  </si>
  <si>
    <t>Jessore Medical College Hospital</t>
  </si>
  <si>
    <t>Jessore Sadar, Jessore.</t>
  </si>
  <si>
    <t>jmc@ac.dghs.gov.bd</t>
  </si>
  <si>
    <t>+8801714812092</t>
  </si>
  <si>
    <t>23.1399795</t>
  </si>
  <si>
    <t>89.2118436</t>
  </si>
  <si>
    <t>Mujib Road, Beside Sonali Bank, Jashore Sadar, Jashore.</t>
  </si>
  <si>
    <t>jessorepsosk@gmail.com</t>
  </si>
  <si>
    <t>+8801710448573, DAO-01682106045. office: 042171080</t>
  </si>
  <si>
    <t>23.1716598</t>
  </si>
  <si>
    <t>89.1924416</t>
  </si>
  <si>
    <t>Protibondhi Sheba O Shahajya Kendra, Jashore</t>
  </si>
  <si>
    <t>Combined Military Hospital Jashore</t>
  </si>
  <si>
    <t>Jashore Cantonment, Jessore.</t>
  </si>
  <si>
    <t>Call for details</t>
  </si>
  <si>
    <t>23.1886239</t>
  </si>
  <si>
    <t>89.1690731</t>
  </si>
  <si>
    <t>Bagerhat Sadar</t>
  </si>
  <si>
    <t>+8801775546046, +8801721218485</t>
  </si>
  <si>
    <t>09:00-15:00</t>
  </si>
  <si>
    <t>22.6553928</t>
  </si>
  <si>
    <t>89.7286056</t>
  </si>
  <si>
    <t>Bagerhat</t>
  </si>
  <si>
    <t>BD4001</t>
  </si>
  <si>
    <t>Shatgombuj Shashtya O Poribar Kolyan Kendra, Bagerhut Sadar</t>
  </si>
  <si>
    <t>Mukkhaiet Community Clinic</t>
  </si>
  <si>
    <t>Mukkhaiet Community Clinic, Gotapara Bagerhat.</t>
  </si>
  <si>
    <t>mizanurchcp@gmail.com</t>
  </si>
  <si>
    <t>+8801746568855</t>
  </si>
  <si>
    <t>22.6601</t>
  </si>
  <si>
    <t>89.7961</t>
  </si>
  <si>
    <t>District Sadar Hospital Bagerhat</t>
  </si>
  <si>
    <t>Bagerhat sadar</t>
  </si>
  <si>
    <t>09:30-14:30</t>
  </si>
  <si>
    <t>22.6562593</t>
  </si>
  <si>
    <t>89.79504</t>
  </si>
  <si>
    <t>Khulna University</t>
  </si>
  <si>
    <t>Gollamari, Khulna</t>
  </si>
  <si>
    <t>22.8022039</t>
  </si>
  <si>
    <t>89.5339231</t>
  </si>
  <si>
    <t>Fulbari Gate, khulna</t>
  </si>
  <si>
    <t>22.9005524</t>
  </si>
  <si>
    <t>89.5023565</t>
  </si>
  <si>
    <t>Khulna University of Engineering and Technology (KUET)</t>
  </si>
  <si>
    <t>Islamic University Kustia</t>
  </si>
  <si>
    <t>visit the Student advisor</t>
  </si>
  <si>
    <t>23.7224423</t>
  </si>
  <si>
    <t>89.1520481</t>
  </si>
  <si>
    <t>Jhenaidah</t>
  </si>
  <si>
    <t>BD4044</t>
  </si>
  <si>
    <t>Islami Bank Hospital Khulna</t>
  </si>
  <si>
    <t>Shanti Dhamer Mor, Khulna</t>
  </si>
  <si>
    <t>https://daktarbhai.com/</t>
  </si>
  <si>
    <t>+88041733913, +8801711298607, +8801712068684</t>
  </si>
  <si>
    <t>22.8119453</t>
  </si>
  <si>
    <t>89.5615131</t>
  </si>
  <si>
    <t>Ahsania Mission Drag Addiction Treatment and Rehabilitation Services Center Jashore</t>
  </si>
  <si>
    <t>Boro Vekutia, Jashore Sadar, Jashore.</t>
  </si>
  <si>
    <t>amicjessore@gmail.com</t>
  </si>
  <si>
    <t>+8801781355755</t>
  </si>
  <si>
    <t>23.1640643</t>
  </si>
  <si>
    <t>89.20645</t>
  </si>
  <si>
    <t>Save the Children, Jashore</t>
  </si>
  <si>
    <t>705/1 Mujib Road, Rail Gate, Jessore Sadar, Jessore</t>
  </si>
  <si>
    <t>dic.jessore.fsw@gmaii.com</t>
  </si>
  <si>
    <t>+8801793976651</t>
  </si>
  <si>
    <t>Sayke Hope</t>
  </si>
  <si>
    <t>29, BK Roy Road, Dalmil Mor, Khulna Sadar, Khulna</t>
  </si>
  <si>
    <t>+8801733584417</t>
  </si>
  <si>
    <t>22.8373729168833</t>
  </si>
  <si>
    <t>89.54010796821</t>
  </si>
  <si>
    <t>Doctors' Point, Khulna</t>
  </si>
  <si>
    <t>49 KDA Avenue, Khulna Sadar, Khulna</t>
  </si>
  <si>
    <t>+8801795383802</t>
  </si>
  <si>
    <t>10:00-22:00</t>
  </si>
  <si>
    <t>22.8149733</t>
  </si>
  <si>
    <t>89.5546121</t>
  </si>
  <si>
    <t>282, Khanjahan Ali Road, Khulna Sadar,</t>
  </si>
  <si>
    <t>chanchaiunit2@gmaii.com</t>
  </si>
  <si>
    <t>+8801711466971</t>
  </si>
  <si>
    <t>22.8086768</t>
  </si>
  <si>
    <t>89.5647311</t>
  </si>
  <si>
    <t>Medicare Diagnostic and Consultation, Khulna</t>
  </si>
  <si>
    <t>Fatima Hospital and Diagnostic Center</t>
  </si>
  <si>
    <t>302, Khanjahan Ali Road, Royel Mor, Khulna Sadar, Khulna</t>
  </si>
  <si>
    <t>+8801743796829</t>
  </si>
  <si>
    <t>on call service</t>
  </si>
  <si>
    <t>22.81065853</t>
  </si>
  <si>
    <t>89.56191286</t>
  </si>
  <si>
    <t>Najmul Clinic, Satkhira.</t>
  </si>
  <si>
    <t>Sahid Tajul Sarani, Palash Pole, Satkhira</t>
  </si>
  <si>
    <t>+8801748917074</t>
  </si>
  <si>
    <t>22.716187</t>
  </si>
  <si>
    <t>89.0715336</t>
  </si>
  <si>
    <t>Sono Tower-2, Kustia</t>
  </si>
  <si>
    <t>Sono Center, College Mor, Kustia</t>
  </si>
  <si>
    <t>+8801717512696</t>
  </si>
  <si>
    <t>every Thursday</t>
  </si>
  <si>
    <t>23.9038347</t>
  </si>
  <si>
    <t>89.1276827</t>
  </si>
  <si>
    <t>Prime Diagnostic Complex, Jessore</t>
  </si>
  <si>
    <t>Akbar Ali Super Market, 78, Sadar Hospital Road, Jashore</t>
  </si>
  <si>
    <t>66277, +8801716007028, 0199372656</t>
  </si>
  <si>
    <t>23.1677576</t>
  </si>
  <si>
    <t>89.2098433</t>
  </si>
  <si>
    <t>Doctors Clinic and Diagnostic Center</t>
  </si>
  <si>
    <t>Puraton Bazar, Bagerhat sadar</t>
  </si>
  <si>
    <t>https://www.doctorsclinicdubai.ae./</t>
  </si>
  <si>
    <t>+8801955938889, +8801729851618</t>
  </si>
  <si>
    <t>22.6643382295396</t>
  </si>
  <si>
    <t>89.79253329308</t>
  </si>
  <si>
    <t>Health Care Diagnostic Center</t>
  </si>
  <si>
    <t>Muktijoddha Complex, Lunch Ghat, Main Road, Bagerhat</t>
  </si>
  <si>
    <t>https://https//www.hdcIbd.com/</t>
  </si>
  <si>
    <t>01995869321 (for appointment)</t>
  </si>
  <si>
    <t>22.66007209214</t>
  </si>
  <si>
    <t>89.79601150276</t>
  </si>
  <si>
    <t>Woodland Diagnostic Center</t>
  </si>
  <si>
    <t>Puraton Bazar, Main Road, Bagerhat sadar</t>
  </si>
  <si>
    <t>https://viIIagesmartboy.bIogspot.com/</t>
  </si>
  <si>
    <t>01787188775 (for appointment)</t>
  </si>
  <si>
    <t>every Tuesday after 15 days.</t>
  </si>
  <si>
    <t>Jail Road, Jessore</t>
  </si>
  <si>
    <t>https://queenshospitaI.com.bd/</t>
  </si>
  <si>
    <t>+88042168355, 68388</t>
  </si>
  <si>
    <t>16:00-14:00</t>
  </si>
  <si>
    <t>23.1777682</t>
  </si>
  <si>
    <t>89.1801225</t>
  </si>
  <si>
    <t>Queens Hospital (Pvt.) Ltd.</t>
  </si>
  <si>
    <t>House no- 68, Jail Road, Doratana, Ghop, Jessore.</t>
  </si>
  <si>
    <t>https://ibnsinatrust.com</t>
  </si>
  <si>
    <t>jessore.diab@ibnsinatrust.com</t>
  </si>
  <si>
    <t>+8804216007073, +8801929454545, +8801706363640</t>
  </si>
  <si>
    <t>Every Sunday, Wednesday &amp; Thursday 2.30</t>
  </si>
  <si>
    <t>23.1679393</t>
  </si>
  <si>
    <t>89.2103968</t>
  </si>
  <si>
    <t>Ibn Sina Hospital and Diagnostic Center, Jashore</t>
  </si>
  <si>
    <t>Labscan Medical Services Ltd.</t>
  </si>
  <si>
    <t>Mental Health Care Services and Drug Rehabilitation Services</t>
  </si>
  <si>
    <t>Mikepotti, Jessore.</t>
  </si>
  <si>
    <t>iabscanmedicaiservesitd@gmaii.com</t>
  </si>
  <si>
    <t>+88042167733, 0133226701</t>
  </si>
  <si>
    <t>23.1642759</t>
  </si>
  <si>
    <t>89.210355</t>
  </si>
  <si>
    <t>Gazi Medical College Hospital</t>
  </si>
  <si>
    <t>Mental Health and Psychiatric Services</t>
  </si>
  <si>
    <t>Sonadanga road, Khulna</t>
  </si>
  <si>
    <t>22.8166642</t>
  </si>
  <si>
    <t>89.5458603</t>
  </si>
  <si>
    <t>Ad-Din Medical College Hospital</t>
  </si>
  <si>
    <t>Services for Children and Parents Only</t>
  </si>
  <si>
    <t>Jashore Road, Khulna</t>
  </si>
  <si>
    <t>23.7483659</t>
  </si>
  <si>
    <t>90.4055235</t>
  </si>
  <si>
    <t>Services for Beneficiaries Only</t>
  </si>
  <si>
    <t>Royal more, Khulna</t>
  </si>
  <si>
    <t>14:00-22:00</t>
  </si>
  <si>
    <t>22.8102588441367</t>
  </si>
  <si>
    <t>89.56226059025</t>
  </si>
  <si>
    <t>Progati Mental Health and Rehabilitation Center</t>
  </si>
  <si>
    <t>Bushra Hospital</t>
  </si>
  <si>
    <t>Khulna Road, Satkhira</t>
  </si>
  <si>
    <t>+8801711229782</t>
  </si>
  <si>
    <t>22.7220354754766</t>
  </si>
  <si>
    <t>89.0700516947</t>
  </si>
  <si>
    <t>SOS Children's Village, Khulna</t>
  </si>
  <si>
    <t>+8802477721132</t>
  </si>
  <si>
    <t>2 p.m. — 8 p m</t>
  </si>
  <si>
    <t>22.8010929690879</t>
  </si>
  <si>
    <t>89.548889079</t>
  </si>
  <si>
    <t>Jagrata Juba Shangha (JJS)</t>
  </si>
  <si>
    <t>35/8, TB Cross Road, PO: Khulna-910</t>
  </si>
  <si>
    <t>+88041730146</t>
  </si>
  <si>
    <t>on workdays</t>
  </si>
  <si>
    <t>22.8061</t>
  </si>
  <si>
    <t>89.5722</t>
  </si>
  <si>
    <t>Rupantor</t>
  </si>
  <si>
    <t>19, 19, Akbarabad Estate, Shirisngar, PO: Khulna-9100</t>
  </si>
  <si>
    <t>880-041731876, +8801711345175</t>
  </si>
  <si>
    <t>22.8149</t>
  </si>
  <si>
    <t>89.5593</t>
  </si>
  <si>
    <t>Mymensingh Medical College Hospital</t>
  </si>
  <si>
    <t>Charpara, Medical Road, Mymensingh-2200</t>
  </si>
  <si>
    <t>Mymensingh</t>
  </si>
  <si>
    <t>https://www.mmch.gov.bd</t>
  </si>
  <si>
    <t>mmch@hospi.dghs.gov.bd</t>
  </si>
  <si>
    <t>+88091-670017 (PABX)</t>
  </si>
  <si>
    <t>24.7418285</t>
  </si>
  <si>
    <t>90.4094369</t>
  </si>
  <si>
    <t>BD45</t>
  </si>
  <si>
    <t>BD4561</t>
  </si>
  <si>
    <t>Child Development Center, Mymensingh Medical College Hospital</t>
  </si>
  <si>
    <t>mymensingh.sbk@gmaii.com</t>
  </si>
  <si>
    <t>+8801783890965</t>
  </si>
  <si>
    <t>Hospital Road, Jamalpur</t>
  </si>
  <si>
    <t>https://www.jamalpur.gov.bd</t>
  </si>
  <si>
    <t>jamalpur@hospi.dghs.gov.bd</t>
  </si>
  <si>
    <t>+8801733349589</t>
  </si>
  <si>
    <t>24.9270097</t>
  </si>
  <si>
    <t>89.948042</t>
  </si>
  <si>
    <t>Jamalpur</t>
  </si>
  <si>
    <t>BD4539</t>
  </si>
  <si>
    <t>Child Development Center, 250 Bedded General Hospital, Jamalpur</t>
  </si>
  <si>
    <t>Shahid Syed Nazrul Islam Medical College Hospital</t>
  </si>
  <si>
    <t>Hospital Road, Josodal Kishoreganj</t>
  </si>
  <si>
    <t>https://www.ssnimc.gov.bd</t>
  </si>
  <si>
    <t>nazrulislammch@hospi.dghs.gov.bd</t>
  </si>
  <si>
    <t>+880299761250, +88094161068</t>
  </si>
  <si>
    <t>24.4143048</t>
  </si>
  <si>
    <t>90.789559</t>
  </si>
  <si>
    <t>Kishoreganj</t>
  </si>
  <si>
    <t>BD3048</t>
  </si>
  <si>
    <t>Child Development Center, Shahid Syed Nazrul Islam Medical College Hospital</t>
  </si>
  <si>
    <t>Hospital Road, Josodal, Kishoreganj</t>
  </si>
  <si>
    <t>sbk.ssnimch@gmaii.com</t>
  </si>
  <si>
    <t>+8801733349513</t>
  </si>
  <si>
    <t>Community Based Medical College Hospital, Bangladesh</t>
  </si>
  <si>
    <t>Winnerpar, Churkhai, Mymensingh</t>
  </si>
  <si>
    <t>http://www.cbmcb.org</t>
  </si>
  <si>
    <t>cbmcb.hospital@gmaii.com</t>
  </si>
  <si>
    <t>+8801711964595, +8801711350724</t>
  </si>
  <si>
    <t>24.6682222</t>
  </si>
  <si>
    <t>90.4039553</t>
  </si>
  <si>
    <t>Union Specialized Hospital</t>
  </si>
  <si>
    <t>337, Charpara, Mymensingh</t>
  </si>
  <si>
    <t>+8801958280000, +8801958280001, +8801925191511, 091-</t>
  </si>
  <si>
    <t>24.7471944</t>
  </si>
  <si>
    <t>90.4082186</t>
  </si>
  <si>
    <t>Sayem Diagno Complex and Hospital Mymensingh</t>
  </si>
  <si>
    <t>30/A/1, D. B. Road, Shehra, Mymensingh-2200</t>
  </si>
  <si>
    <t>sayem_beg@yahoo.com</t>
  </si>
  <si>
    <t>+8801725516141</t>
  </si>
  <si>
    <t>24.7423225</t>
  </si>
  <si>
    <t>90.4076207</t>
  </si>
  <si>
    <t>211, Charpara (Opposite of MMCH), Mymensingh</t>
  </si>
  <si>
    <t>http://prantohospitaI.com</t>
  </si>
  <si>
    <t>prantodc@yahoo.co.uk</t>
  </si>
  <si>
    <t>+8801712942893, +8801888107041</t>
  </si>
  <si>
    <t>14:30-20:00</t>
  </si>
  <si>
    <t>24.7438184</t>
  </si>
  <si>
    <t>90.4082248</t>
  </si>
  <si>
    <t>Pranto Diagnostic Center</t>
  </si>
  <si>
    <t>252/1, Charpara, (Opposite of Mymensingh Medical College), Mymensingh</t>
  </si>
  <si>
    <t>https://www.popuIardiagnostic.com</t>
  </si>
  <si>
    <t>+8809666787814, +8809613787814</t>
  </si>
  <si>
    <t>15:00-16:00</t>
  </si>
  <si>
    <t>23.7395434</t>
  </si>
  <si>
    <t>90.3821725</t>
  </si>
  <si>
    <t>Popular Diagnostic Center Ltd.</t>
  </si>
  <si>
    <t>Mashjid Quarter, Mukterpara, Netrakona</t>
  </si>
  <si>
    <t>+8801710953969</t>
  </si>
  <si>
    <t>24.8766072640362</t>
  </si>
  <si>
    <t>90.72992017022</t>
  </si>
  <si>
    <t>Netrakona</t>
  </si>
  <si>
    <t>BD4572</t>
  </si>
  <si>
    <t>Nurjahan DG Lab Medical Center</t>
  </si>
  <si>
    <t>D M D C Hospital</t>
  </si>
  <si>
    <t>37, Amirabad Housing, Maskanda, Mymensingh</t>
  </si>
  <si>
    <t>+8801977609435, +8801717609435</t>
  </si>
  <si>
    <t>24.7313</t>
  </si>
  <si>
    <t>90.4085</t>
  </si>
  <si>
    <t>Punom Nursing Home</t>
  </si>
  <si>
    <t>Medical Road, Jamalpur</t>
  </si>
  <si>
    <t>+88098162622, +8801775760673, +8801753413656</t>
  </si>
  <si>
    <t>23.047735</t>
  </si>
  <si>
    <t>88.8257596</t>
  </si>
  <si>
    <t>Station Road, Kishoreganj Sadar</t>
  </si>
  <si>
    <t>+8801719898888</t>
  </si>
  <si>
    <t>15:30-18:00</t>
  </si>
  <si>
    <t>24.4060842233847</t>
  </si>
  <si>
    <t>90.38570566</t>
  </si>
  <si>
    <t>New Medilab Health Center Ltd.</t>
  </si>
  <si>
    <t>Alor Dishari Buddhi Protibondhi O Autistic Bidyaloy</t>
  </si>
  <si>
    <t>Mental Health and Psychosocial Counseling</t>
  </si>
  <si>
    <t>Baniagram, Katiadi, Kishoreganj</t>
  </si>
  <si>
    <t>+8801787391764</t>
  </si>
  <si>
    <t>24.7616579444122</t>
  </si>
  <si>
    <t>90.3995843506</t>
  </si>
  <si>
    <t>Shojol, Promod Medical Hall</t>
  </si>
  <si>
    <t>Kuliarchar Bazar, Kuliarchar, Kishoreganj</t>
  </si>
  <si>
    <t>+8801793102040</t>
  </si>
  <si>
    <t>24.2006193</t>
  </si>
  <si>
    <t>90.9186022</t>
  </si>
  <si>
    <t>Child Development Institute Mymensingh</t>
  </si>
  <si>
    <t>62/A/6, D. B Road, Bodorer Mor, Mymensingh</t>
  </si>
  <si>
    <t>urmisaha25@gmaii.com</t>
  </si>
  <si>
    <t>+8801715402886</t>
  </si>
  <si>
    <t>24.7519639</t>
  </si>
  <si>
    <t>90.4055245</t>
  </si>
  <si>
    <t>Mental health and psychosocial counseling for down</t>
  </si>
  <si>
    <t>45 K.C Road, Mymensingh</t>
  </si>
  <si>
    <t>https://www.pccbd.org</t>
  </si>
  <si>
    <t>executivedpcc@gmail.com</t>
  </si>
  <si>
    <t>+8801714077519</t>
  </si>
  <si>
    <t>24.76725</t>
  </si>
  <si>
    <t>90.3930278</t>
  </si>
  <si>
    <t>Protibondhi Community Center (PCC)</t>
  </si>
  <si>
    <t>Bandhu Social Welfare Society, Mymensingh DIC</t>
  </si>
  <si>
    <t>31 J.C. Guha Road, Mymensingh</t>
  </si>
  <si>
    <t>https://www.bandhu-bd.org</t>
  </si>
  <si>
    <t>mymensingh.rcc@gmaiI.com ; shale@bandhu-bd.org</t>
  </si>
  <si>
    <t>+8801720839167</t>
  </si>
  <si>
    <t>24.7459528</t>
  </si>
  <si>
    <t>90.417854</t>
  </si>
  <si>
    <t>10 BDT</t>
  </si>
  <si>
    <t>30 BDT</t>
  </si>
  <si>
    <t>800-1800 BDT</t>
  </si>
  <si>
    <t>600-800 BDT</t>
  </si>
  <si>
    <t>700-1000 BDT</t>
  </si>
  <si>
    <t>1000-2500 BDT</t>
  </si>
  <si>
    <t>80 BDT</t>
  </si>
  <si>
    <t>500 BDT</t>
  </si>
  <si>
    <t>800 BDT</t>
  </si>
  <si>
    <t>400-600 BDT</t>
  </si>
  <si>
    <t>500-2000 BDT</t>
  </si>
  <si>
    <t>16500 BDT</t>
  </si>
  <si>
    <t>600 BDT</t>
  </si>
  <si>
    <t>700 BDT</t>
  </si>
  <si>
    <t>1000 BDT</t>
  </si>
  <si>
    <t>800-1000 BDT</t>
  </si>
  <si>
    <t>700-1500 BDT</t>
  </si>
  <si>
    <t>200-700 BDT</t>
  </si>
  <si>
    <t>1000-1500 BDT</t>
  </si>
  <si>
    <t>200 BDT</t>
  </si>
  <si>
    <t>16500 BDT (monthly)</t>
  </si>
  <si>
    <t>13000 BDT (monthly)</t>
  </si>
  <si>
    <t>Institute/Hospital</t>
  </si>
  <si>
    <t>Available services: psychiatric, counselling, psychotherapy, and occupational therapy</t>
  </si>
  <si>
    <t>Sher-E-Bangla Nagar, Dhaka 1207</t>
  </si>
  <si>
    <t>nimh.gov.bd</t>
  </si>
  <si>
    <t>nimh@hospi.dg hs.gov.bd</t>
  </si>
  <si>
    <t>Saturday to Thursday</t>
  </si>
  <si>
    <t>Indoor and outdoor service (8 a.m.-2.30 p.m.)</t>
  </si>
  <si>
    <t>Both</t>
  </si>
  <si>
    <t>Not found</t>
  </si>
  <si>
    <t>Bangabandhu Sheikh Mujib Medical University (BSMMU), Dhaka</t>
  </si>
  <si>
    <t>Medical University Hospital</t>
  </si>
  <si>
    <t>Available services: psychiatric, counselling and psychotherapy</t>
  </si>
  <si>
    <t>01866-637482</t>
  </si>
  <si>
    <t>Indoor &amp; Outdoor Service (8 a.m.-2 p.m.)</t>
  </si>
  <si>
    <t>Dhaka Medical College and Hospital, Dhaka</t>
  </si>
  <si>
    <t>Medical College Hospital</t>
  </si>
  <si>
    <t>Available services: psychiatric counselling and psychotherapy</t>
  </si>
  <si>
    <t>dmc@hospi.dghs.gov.bd</t>
  </si>
  <si>
    <t>(02)9669340; (02)55165088</t>
  </si>
  <si>
    <t>Indoor services (8 a.m.-2 p.m.)</t>
  </si>
  <si>
    <t>Mitford Rd, Dhaka 1206</t>
  </si>
  <si>
    <t>www.ssmchd.net</t>
  </si>
  <si>
    <t>02-57315076</t>
  </si>
  <si>
    <t>8.30 a.m.-2.30 p.m.</t>
  </si>
  <si>
    <t>Sher-E-Bangla Nagar, Dhaka-1207</t>
  </si>
  <si>
    <t>www.shsmc.gov.bd</t>
  </si>
  <si>
    <t>02-48116011</t>
  </si>
  <si>
    <t>Medical College</t>
  </si>
  <si>
    <t>Services: psychiatric services</t>
  </si>
  <si>
    <t>Near Zia Colony MP Check Post, opposite Radisson Blue, bailey kella general Hospital, Dhaka Cantonment, Dhaka 1206</t>
  </si>
  <si>
    <t>sdydept.afmc.bd@gmail.com</t>
  </si>
  <si>
    <t>kurmitolasoebed@hospi.dghs.gov.bd</t>
  </si>
  <si>
    <t>0255062388; 017958621817</t>
  </si>
  <si>
    <t>Saturday</t>
  </si>
  <si>
    <t>Mugda Medical College and Hospital, Dhaka</t>
  </si>
  <si>
    <t>01553 306518</t>
  </si>
  <si>
    <t>Crisis Center</t>
  </si>
  <si>
    <t>Services: counselling and psychotherapy for trauma survivors</t>
  </si>
  <si>
    <t>occdmc@yahoo.com</t>
  </si>
  <si>
    <t>Child Development Center</t>
  </si>
  <si>
    <t>Services: psychological assessment and mental health care services for children and adolescents</t>
  </si>
  <si>
    <t>Indoor and outdoor services (8 a.m.-2 p.m.)</t>
  </si>
  <si>
    <t>Child</t>
  </si>
  <si>
    <t>Child Development Center, Sir Salimullah Medical College and Hospital, Dhaka</t>
  </si>
  <si>
    <t>Hazi Kadam Ali Road, Mugdapara, Motijheel, Dhaka</t>
  </si>
  <si>
    <t>Child Development Centre, Dhaka Shishu Hospital, Dhaka</t>
  </si>
  <si>
    <t>Sher-e-Bangla Nagar, Dhaka-1207, Bangladesh</t>
  </si>
  <si>
    <t>www.dsh.org.bd</t>
  </si>
  <si>
    <t>outdoor (8 a.m.-2 p.m.)</t>
  </si>
  <si>
    <t>Child Development center, Sheikh Sayera Khatun Medical College, Gopalganj</t>
  </si>
  <si>
    <t>Gopalganj Sadar</t>
  </si>
  <si>
    <t>01762-315491</t>
  </si>
  <si>
    <t>8.30 a.m.-12.30 p.m.</t>
  </si>
  <si>
    <t>Child Development Center, Sheikh Hasina Medical College, Tangail</t>
  </si>
  <si>
    <t>shmct.gov.bd</t>
  </si>
  <si>
    <t>0921-62150</t>
  </si>
  <si>
    <t>Child Development Center, Bangabandhu Sheikh Mujib Medical College Hospital, Faridpur</t>
  </si>
  <si>
    <t>Services: psychological assessment and mental health care for children and adolescents</t>
  </si>
  <si>
    <t>WB Khabaspur, Faridpur</t>
  </si>
  <si>
    <t>www.bsmmc.edu.bd</t>
  </si>
  <si>
    <t>01755584573; 0631-67223</t>
  </si>
  <si>
    <t>Institute of Child &amp; Mother Health (ICMH), Dhaka</t>
  </si>
  <si>
    <t>Institute</t>
  </si>
  <si>
    <t>Services: counselling and psychotherapy services</t>
  </si>
  <si>
    <t>Matuail, Dhaka-1362</t>
  </si>
  <si>
    <t>www.icmh.org.bd</t>
  </si>
  <si>
    <t>02-7542627</t>
  </si>
  <si>
    <t>Institute of Pediatric Neuro-disorder and Autism (IPNA), Dhaka</t>
  </si>
  <si>
    <t>Services: neurodevelopmental assessment and mental health care services for children and adolescents</t>
  </si>
  <si>
    <t>http://ipna.bsmmu.edu.bd/</t>
  </si>
  <si>
    <t>+88 02-9663485</t>
  </si>
  <si>
    <t>8 a.m.-2 p.m.</t>
  </si>
  <si>
    <t>National Trauma Counseling Center, Dhaka</t>
  </si>
  <si>
    <t>Counseling Center</t>
  </si>
  <si>
    <t>Room No. 416, Department of Women Affairs Building, 37/3 Eskaton Garden Road, Dhaka-1000</t>
  </si>
  <si>
    <t>01713177175; 02-8321825</t>
  </si>
  <si>
    <t>Sunday to Thursday</t>
  </si>
  <si>
    <t>Sher-E-Bangla Nagar, Agargaon, Dhaka-1207</t>
  </si>
  <si>
    <t>www.nins.gov.bd</t>
  </si>
  <si>
    <t>+880-2-9102142; 01711565995</t>
  </si>
  <si>
    <t>Colonel Malek Medical College, Manikganj</t>
  </si>
  <si>
    <t>One Stop Crisis Center (OCC), Bangabandhu Sheikh Mujib Medical College Hospital, Faridpur</t>
  </si>
  <si>
    <t>Services: counselling and psychotherapy for violence victims</t>
  </si>
  <si>
    <t>Bangabandhu Sheikh Mujib Medical College (BSMMC), Faridpur</t>
  </si>
  <si>
    <t>West Khabaspur, Ward no-13, Faridpur Sadar, Faridpur Paurashava, Faridpur</t>
  </si>
  <si>
    <t>8:00 a.m.-3:00 p.m.</t>
  </si>
  <si>
    <t>Sheikh Sayera Khatun Medical College, Gopalganj</t>
  </si>
  <si>
    <t>Shaheed Tajuddin Ahmad Medical College and Hospital, Gazipur</t>
  </si>
  <si>
    <t>shmctangail@hospi.dghs.gov.bd</t>
  </si>
  <si>
    <t>Nasirullah Psychotherapy Unit, Department of Clinical Psychology DU, Dhaka</t>
  </si>
  <si>
    <t>Psychotherapy Unit</t>
  </si>
  <si>
    <t>https://www.npudud.org</t>
  </si>
  <si>
    <t>npu@du@gmail.com</t>
  </si>
  <si>
    <t>9.00 a.m.-4.00 p.m.</t>
  </si>
  <si>
    <t>Individual session: 800 BDT; Family and couple therapy: 1800 BDT</t>
  </si>
  <si>
    <t>Academic</t>
  </si>
  <si>
    <t>Department of Educational and Counseling Psychology, University of Dhaka</t>
  </si>
  <si>
    <t>University Department</t>
  </si>
  <si>
    <t>Services: counselling service</t>
  </si>
  <si>
    <t>+88 09666 911 463 (Ext. 7706); 01967867933</t>
  </si>
  <si>
    <t>Clinic</t>
  </si>
  <si>
    <t>Specialty: psychological assessment; Services: psychological assessment, counselling and psychotherapy</t>
  </si>
  <si>
    <t>pacdpdu@gmail.com</t>
  </si>
  <si>
    <t>Services: psychological assessment, counselling, and psychotherapy</t>
  </si>
  <si>
    <t>hossain_cp@du.ac.bd</t>
  </si>
  <si>
    <t>Services: counselling for Dhaka University students</t>
  </si>
  <si>
    <t>https://du.ac.bd/offices/OGC</t>
  </si>
  <si>
    <t>09666 911 463 (Ext. 7706); 01911321608</t>
  </si>
  <si>
    <t>Student Guidance and Counseling Center, Jahangir Nagar University</t>
  </si>
  <si>
    <t>Services: counselling for Jahangirnagar University students</t>
  </si>
  <si>
    <t>T.S.C, Jahangir Nagar University, Savar, Dhaka</t>
  </si>
  <si>
    <t>www.juniv.edu</t>
  </si>
  <si>
    <t>8.30 a.m.-4.00 p.m.</t>
  </si>
  <si>
    <t>Acid Survivors Foundation (ASF), Dhaka</t>
  </si>
  <si>
    <t>Foundation</t>
  </si>
  <si>
    <t>Services: psychotherapy services for acid survivors</t>
  </si>
  <si>
    <t>House # 39, Road # 12, Block # Kha, Pisciculture Housing Society, Shekhertek, Dhaka -1207</t>
  </si>
  <si>
    <t>https://acidsurvivors.org</t>
  </si>
  <si>
    <t>+880 9678777148/49; +88 01713010461</t>
  </si>
  <si>
    <t>NGO</t>
  </si>
  <si>
    <t>Ain o Salish Kendra (ASK), Dhaka</t>
  </si>
  <si>
    <t>Center</t>
  </si>
  <si>
    <t>Services: counselling and psychotherapy</t>
  </si>
  <si>
    <t>www.askbd.org</t>
  </si>
  <si>
    <t>01714025069; 02-8100192; 8100195</t>
  </si>
  <si>
    <t>9 a.m.-5 p.m.</t>
  </si>
  <si>
    <t>Anwar Khan Modern Medical College &amp; Hospital, Dhaka</t>
  </si>
  <si>
    <t>+8816074; 223361213; 223370295; 10652</t>
  </si>
  <si>
    <t>everyday</t>
  </si>
  <si>
    <t>Athena De-addiction Treatment &amp; Counseling Center, Dhaka</t>
  </si>
  <si>
    <t>Treatment &amp; Counseling Center</t>
  </si>
  <si>
    <t>Services: addiction treatment and rehabilitation, psychiatric, counselling and psychotherapy services</t>
  </si>
  <si>
    <t>athenaimitedbd@gmail.com</t>
  </si>
  <si>
    <t>01711-084203</t>
  </si>
  <si>
    <t>Rehabilitation Center</t>
  </si>
  <si>
    <t>Services: drug addiction counselling</t>
  </si>
  <si>
    <t>19/1 Babor Road, Mohammadpur, Dhaka - 1207</t>
  </si>
  <si>
    <t>34/35, Road # 14/A (New), Dhanmondi R/A, Dhaka-1209</t>
  </si>
  <si>
    <t>office09@bmc-bd.org</t>
  </si>
  <si>
    <t>Bangladesh Psychiatric Care Limited (BPCL), Dhaka</t>
  </si>
  <si>
    <t>Psychiatric Care Center</t>
  </si>
  <si>
    <t>Services: psychiatric services, counseling, and psychotherapy</t>
  </si>
  <si>
    <t>6th Floor, 15/A Kazi Nazrul Islam Avenue, Dhanmondi, Dhaka 1205</t>
  </si>
  <si>
    <t>https://bpsychiatriccare.com</t>
  </si>
  <si>
    <t>+8801872-863002; 09604-604604</t>
  </si>
  <si>
    <t>Mental Health Center</t>
  </si>
  <si>
    <t>cmhcb.com</t>
  </si>
  <si>
    <t>cmhcbd2015@gmail.com</t>
  </si>
  <si>
    <t>Saturday to Friday</t>
  </si>
  <si>
    <t>Individual session: 1000 BDT; Family &amp; couple session: 2500 BDT</t>
  </si>
  <si>
    <t>Community-health Rehabilitation Education and Awareness (CREA), Dhaka</t>
  </si>
  <si>
    <t>Rehabilitation/Education Center</t>
  </si>
  <si>
    <t>Services: addiction treatment and rehabilitation, psychiatric, counselling and psychotherapy</t>
  </si>
  <si>
    <t>House-312, Road-2, Baitul Aman Housing Society, Adabor, Dhaka</t>
  </si>
  <si>
    <t>creabd.org</t>
  </si>
  <si>
    <t>crea.org</t>
  </si>
  <si>
    <t>01724-979415</t>
  </si>
  <si>
    <t>Diagnostic Center</t>
  </si>
  <si>
    <t>10673; 01731956033; 01552468377; 02-222246338-41</t>
  </si>
  <si>
    <t>Dhaka Ahsania Mission (DAM), Dhaka</t>
  </si>
  <si>
    <t>Mission/Center</t>
  </si>
  <si>
    <t>House: 152, Block: Ka, Road: 06, PC Culture Housing Society, Shyamoli, Dhaka-1207</t>
  </si>
  <si>
    <t>+88 02 58151114; 0177753143; 01748475523; +8801782618661</t>
  </si>
  <si>
    <t>Flat # B/B, Bashati Dream Road # 20, House # 03, Gulshan-1, Dhaka and House # 43, Road # 10, Sector # 11, Uttara, Dhaka-1230</t>
  </si>
  <si>
    <t>dorpon.psy@gmail.com</t>
  </si>
  <si>
    <t>01716-273455 (Gulshan); 01811-478940 (Uttara)</t>
  </si>
  <si>
    <t>during hours: 10 a.m.-7 p.m.</t>
  </si>
  <si>
    <t>Evercare Hospital, Dhaka</t>
  </si>
  <si>
    <t>Hospital</t>
  </si>
  <si>
    <t>Services: psychiatric, counseling and psychotherapy</t>
  </si>
  <si>
    <t>https://www.evercarebd.com</t>
  </si>
  <si>
    <t>02-55037242</t>
  </si>
  <si>
    <t>Gonoshasthaya Samaj Vittik Medical College &amp; Hospital, Dhaka</t>
  </si>
  <si>
    <t>Savar, Dhaka</t>
  </si>
  <si>
    <t>02-7792224</t>
  </si>
  <si>
    <t>outdoor services, Saturday-Thursday</t>
  </si>
  <si>
    <t>Green Life Medical College and Hospital Ltd., Dhaka</t>
  </si>
  <si>
    <t>MA Kha Tower, 31 and 31/1, Bir Uttam K.M. Shafiullah Sarak (Green Road), Dhaka – 1205</t>
  </si>
  <si>
    <t>https://greenlife.edu.bd</t>
  </si>
  <si>
    <t>contact@greenlife.edu.bd</t>
  </si>
  <si>
    <t>+88-02 9612345-50</t>
  </si>
  <si>
    <t>+88 01678-131 252; 01611-216 232</t>
  </si>
  <si>
    <t>Center/Hospital</t>
  </si>
  <si>
    <t>Services: psychiatric, counseling and psychotherapy services</t>
  </si>
  <si>
    <t>https://healingheartbd.org/</t>
  </si>
  <si>
    <t>01752-071497</t>
  </si>
  <si>
    <t>Saturday to Friday (Except Sunday)</t>
  </si>
  <si>
    <t>9.30 a.m.-5.30 p.m.</t>
  </si>
  <si>
    <t>Hi Tech, Modern Psychiatric Hospital (Pvt.) Ltd., Dhaka</t>
  </si>
  <si>
    <t>Psychiatric Hospital</t>
  </si>
  <si>
    <t>113/A, Monipurpara, Gate No 1, Farmgate, Tejgaon, Dhaka-1216</t>
  </si>
  <si>
    <t>mental014@gmail.com</t>
  </si>
  <si>
    <t>01711662709; 02-9131958 (office); 01730333789</t>
  </si>
  <si>
    <t>#1, Eskaton Garden Road, Dhaka 1000</t>
  </si>
  <si>
    <t>info@hfcrmc.edu.bd</t>
  </si>
  <si>
    <t>+88 02 48311721-5</t>
  </si>
  <si>
    <t>Saturday to Friday (except Sunday)</t>
  </si>
  <si>
    <t>Imaging Center</t>
  </si>
  <si>
    <t>House #58, Road 2/A, Zigatola Bus Stand, Dhaka 1209</t>
  </si>
  <si>
    <t>www.ibsinatrust.com</t>
  </si>
  <si>
    <t>info@ibsinatrust.com</t>
  </si>
  <si>
    <t>Diagnostic and Consultation Center</t>
  </si>
  <si>
    <t>https://www.ibsinatrust.com/</t>
  </si>
  <si>
    <t>09610009614; 9126625-6; 9128835-7</t>
  </si>
  <si>
    <t>Ibn Sina Diagnostic &amp; Consultation Center, Dhaka</t>
  </si>
  <si>
    <t>01844022229 (Customer Service); 09610009614</t>
  </si>
  <si>
    <t>Inner Circle, Psychosocial Counseling Center, SAJIDA Foundation, Dhaka</t>
  </si>
  <si>
    <t>Celebration Point, Plot 3 &amp; 5, Road 13/A, Gulshan 2, Dhaka</t>
  </si>
  <si>
    <t>Saturday-Thursday</t>
  </si>
  <si>
    <t>9:30 a.m.-6:00 p.m.</t>
  </si>
  <si>
    <t>Insight Psycho-social Care and Research</t>
  </si>
  <si>
    <t>Care and Research Center</t>
  </si>
  <si>
    <t>Services: psychiatric and psychotherapy services</t>
  </si>
  <si>
    <t>insightips.com</t>
  </si>
  <si>
    <t>ipe@gmail.com</t>
  </si>
  <si>
    <t>0248321962; 01322893344; 01834623022; 01751945135</t>
  </si>
  <si>
    <t>Saturday-Friday</t>
  </si>
  <si>
    <t>Friday by appointment</t>
  </si>
  <si>
    <t>Helpline</t>
  </si>
  <si>
    <t>Services: suicide and emotional support helpline</t>
  </si>
  <si>
    <t>info.shuni@gmail.com</t>
  </si>
  <si>
    <t>01779554391; 01779554392; 01688709965; 01688709966; 01985275286; 01852035634</t>
  </si>
  <si>
    <t>The lines will be open every week during the following hours: Monday-Wednesday 3 p.m.-9 p.m.; Thursday 9 p.m.-3 a.m.</t>
  </si>
  <si>
    <t>LABAID LTD. (DIAGNOSTIC) Annex, Dhaka</t>
  </si>
  <si>
    <t>Services: psychiatric services, counselling, and psychotherapy</t>
  </si>
  <si>
    <t>www.labaidgroup.com</t>
  </si>
  <si>
    <t>58610793-8; 9670210-3; 8631177; 10606; 0171553789</t>
  </si>
  <si>
    <t>Hospital/Diagnostic Center</t>
  </si>
  <si>
    <t>Faridpur Tower, House-5/1, Main Road, Mujib Sharok, Niltoly, Faridpur-7800</t>
  </si>
  <si>
    <t>labaid.com</t>
  </si>
  <si>
    <t>10606; +880-1766663100</t>
  </si>
  <si>
    <t>+88 0176666-0129; +88 8835981-4; 9858943</t>
  </si>
  <si>
    <t>02-9858088; 9854403; 01947400400</t>
  </si>
  <si>
    <t>House # 15, Road # 12, Sector # 6, Uttara, Dhaka</t>
  </si>
  <si>
    <t>+88 09610010615</t>
  </si>
  <si>
    <t>109 Green Road, Farmgate Dhaka</t>
  </si>
  <si>
    <t>https://we.lifeandlighthousebd.com</t>
  </si>
  <si>
    <t>fokruhossain2001@gmail.com</t>
  </si>
  <si>
    <t>+88 02581501161; +8801724544000; +8801713031449</t>
  </si>
  <si>
    <t>Hospital/Center</t>
  </si>
  <si>
    <t>Services: psychiatric, counseling, and psychotherapy</t>
  </si>
  <si>
    <t>http://www.lifespringint.com/</t>
  </si>
  <si>
    <t>+8809638 505 505; +8801763 438 148</t>
  </si>
  <si>
    <t>www.medinovamedicalbd.com</t>
  </si>
  <si>
    <t>medinovamedicalbd.com</t>
  </si>
  <si>
    <t>58610793-8; 9670210-3; 8631177; 10606; 01715513789</t>
  </si>
  <si>
    <t>Monochikitsaloy, Dhaka</t>
  </si>
  <si>
    <t>Services: psychiatric, counselling and psychotherapy</t>
  </si>
  <si>
    <t>B-37, Block A, Zakir Hossain Road, Dhaka</t>
  </si>
  <si>
    <t>monochikitsaloy@gmail.com</t>
  </si>
  <si>
    <t>01873-333393</t>
  </si>
  <si>
    <t>tauirailsam75@gmail.com</t>
  </si>
  <si>
    <t>+880 1841-448888; +880-2-9016371</t>
  </si>
  <si>
    <t>Monojagot Center, Dhaka</t>
  </si>
  <si>
    <t>Road-4, House-5, (2nd floor), Dhanmondi, Dhaka</t>
  </si>
  <si>
    <t>monojagotcentre1986@gmail.com</t>
  </si>
  <si>
    <t>02-9662475; 8613786; 01715-178888; 01819-240000</t>
  </si>
  <si>
    <t>Saturday-Friday (Except Tuesday)</t>
  </si>
  <si>
    <t>8.00 a.m.-9.00 p.m.</t>
  </si>
  <si>
    <t>Services: psychotherapy services</t>
  </si>
  <si>
    <t>www.monobikash.com</t>
  </si>
  <si>
    <t>monobikash.bd@gmail.com</t>
  </si>
  <si>
    <t>01837-331300</t>
  </si>
  <si>
    <t>Services: counseling and psychotherapy services</t>
  </si>
  <si>
    <t>House-9/7, Shyamoli Garden Street, Shyamoli Ring Road, Dhaka-1207</t>
  </si>
  <si>
    <t>https://iwellbeing.org/</t>
  </si>
  <si>
    <t>01680-134827</t>
  </si>
  <si>
    <t>Moshal Foundation, Dhaka</t>
  </si>
  <si>
    <t>Services: psychiatric, counselling and psychotherapy services</t>
  </si>
  <si>
    <t>moshalcommunicationsha@gmail.com; moshalclientrelations@gmail.com</t>
  </si>
  <si>
    <t>New Mukti Clinic, Dhaka</t>
  </si>
  <si>
    <t>Services: drug addiction and psychiatric treatment</t>
  </si>
  <si>
    <t>AK Complex, floor 7, 19, Green Road, Dhaka</t>
  </si>
  <si>
    <t>www.newmukti.com</t>
  </si>
  <si>
    <t>01711 200 720</t>
  </si>
  <si>
    <t>Padma Diagnostic Centre Ltd., Dhaka</t>
  </si>
  <si>
    <t>Diagnostic Centre</t>
  </si>
  <si>
    <t>https://padma-bd.com</t>
  </si>
  <si>
    <t>0961 111 33 55</t>
  </si>
  <si>
    <t>Health Center</t>
  </si>
  <si>
    <t>Services: psychiatric consultations, individual sessions, mental health assessment</t>
  </si>
  <si>
    <t>info.nihealth.care</t>
  </si>
  <si>
    <t>Monday-Saturday</t>
  </si>
  <si>
    <t>11 a.m.-7 p.m.</t>
  </si>
  <si>
    <t>2500 BDT</t>
  </si>
  <si>
    <t>Services: counselling both online and in person services</t>
  </si>
  <si>
    <t>monerbondhu.org</t>
  </si>
  <si>
    <t>monerbondhu16@gmail.com</t>
  </si>
  <si>
    <t>01776-632344</t>
  </si>
  <si>
    <t>9 a.m.-8 p.m.</t>
  </si>
  <si>
    <t>Prescription Point Limited, Dhaka</t>
  </si>
  <si>
    <t>Center/Clinic</t>
  </si>
  <si>
    <t>Sunday-Saturday</t>
  </si>
  <si>
    <t>9 a.m.-10 p.m.</t>
  </si>
  <si>
    <t>New Launch Terminal Road, Raukariapara, Narsingdi</t>
  </si>
  <si>
    <t>01725909061; 02-9462020</t>
  </si>
  <si>
    <t>Protoy Medical Center, Dhaka</t>
  </si>
  <si>
    <t>Medical Center</t>
  </si>
  <si>
    <t>https://www.protoymedical.com</t>
  </si>
  <si>
    <t>029858088; 029854403; 01947400400</t>
  </si>
  <si>
    <t>plot-4/D, Road 73, Gulshan-2, Dhaka</t>
  </si>
  <si>
    <t>https://phwcbd.org</t>
  </si>
  <si>
    <t>Sunday-Thursday</t>
  </si>
  <si>
    <t>9 a.m.-7 p.m.</t>
  </si>
  <si>
    <t>Diagnostic Complex</t>
  </si>
  <si>
    <t>+880-2-9126670; 016-75494919</t>
  </si>
  <si>
    <t>5:00 p.m.-9:00 p.m. (on call appointment)</t>
  </si>
  <si>
    <t>SIBL Foundation Hospital &amp; Diagnostic Center, Dhaka</t>
  </si>
  <si>
    <t>Hospital &amp; Diagnostic Center</t>
  </si>
  <si>
    <t>www.siblbd.com</t>
  </si>
  <si>
    <t>sibl.hospital@siblbd.com</t>
  </si>
  <si>
    <t>+8801991150900; +8801958339339</t>
  </si>
  <si>
    <t>www.squarehospital.com</t>
  </si>
  <si>
    <t>Clinic and Hospital</t>
  </si>
  <si>
    <t>01711238622; 01611238622; 092161020</t>
  </si>
  <si>
    <t>Saturday-Sunday</t>
  </si>
  <si>
    <t>Telepsychiatry Research and Innovation Network Limited (TRIN), Dhaka</t>
  </si>
  <si>
    <t>Network/Center</t>
  </si>
  <si>
    <t>https://trin.healthcare</t>
  </si>
  <si>
    <t>trin.healthcare</t>
  </si>
  <si>
    <t>01550-699399</t>
  </si>
  <si>
    <t>United Hospital Limited, Dhaka</t>
  </si>
  <si>
    <t>https://www.uhlbd.com</t>
  </si>
  <si>
    <t>+88 02 8836444; +88 02 8836000; Hotline 10666</t>
  </si>
  <si>
    <t>Uttara Crescent Clinic, Dhaka</t>
  </si>
  <si>
    <t>House-40, Road-Rabindra Sarani, Sector-7, Uttara, Dhaka-1230</t>
  </si>
  <si>
    <t>https://www.uchbd.com</t>
  </si>
  <si>
    <t>10665; 09666710665</t>
  </si>
  <si>
    <t>Psychotherapy Center</t>
  </si>
  <si>
    <t>Office address: Plot-7, 2nd floor, Block-I, Mirpur-2, Dhaka</t>
  </si>
  <si>
    <t>https://www.astha.ambitioussoftwares.com</t>
  </si>
  <si>
    <t>Services: online counseling and psychotherapy services</t>
  </si>
  <si>
    <t>https://aacholfoundation.org/</t>
  </si>
  <si>
    <t>Service: tele-counseling and psychiatric consultation</t>
  </si>
  <si>
    <t>32, Mohakhali DOHS, Dhaka</t>
  </si>
  <si>
    <t>8 a.m.-8 p.m.</t>
  </si>
  <si>
    <t>wEvolve, Dhaka</t>
  </si>
  <si>
    <t>https://wevolvebd.org</t>
  </si>
  <si>
    <t>Services: addiction treatment and rehabilitation, psychiatric, counseling and psychotherapy</t>
  </si>
  <si>
    <t>http://www.beaconpointbd.com</t>
  </si>
  <si>
    <t>01985 550068; 01985 550069; 01985 550678</t>
  </si>
  <si>
    <t>https://empathy.com.bd/</t>
  </si>
  <si>
    <t>Services: addiction treatment &amp; rehabilitation, psychiatric, counselling and psychotherapy services</t>
  </si>
  <si>
    <t>House 2/E, Road 5, Sector 11, Uttara, Dhaka 1230</t>
  </si>
  <si>
    <t>01711 533443; 02 8962139-40; 01711 379166</t>
  </si>
  <si>
    <t>8 a.m.-11 p.m.</t>
  </si>
  <si>
    <t>Niramoy Hospital, Dhaka</t>
  </si>
  <si>
    <t>House-13/19, Babor Road, Block-B, Mohammadpur, Dhaka</t>
  </si>
  <si>
    <t>02-9145987; 01758338888; 01758883355</t>
  </si>
  <si>
    <t>Aftab Nibash, 7/5 (5th Floor), Block-B, Lalmatia, Dhaka</t>
  </si>
  <si>
    <t>innerforce.bd2000@gmail.com</t>
  </si>
  <si>
    <t>02-9117764</t>
  </si>
  <si>
    <t>Services: mental health service</t>
  </si>
  <si>
    <t>13/14, Samhular Road, Mohammadpur, Dhaka</t>
  </si>
  <si>
    <t>freedomwithin247@gmail.com</t>
  </si>
  <si>
    <t>01906-381513</t>
  </si>
  <si>
    <t>Centre for the Rehabilitation of the Paralysed- CRP, Savar</t>
  </si>
  <si>
    <t>CRP, Chapain, CRP Road, Savar Union 1343, Dhaka</t>
  </si>
  <si>
    <t>https://www.crp-bangladesh.org</t>
  </si>
  <si>
    <t>info@crp-bangladesh.org</t>
  </si>
  <si>
    <t>8:00 a.m.-5:00 p.m.</t>
  </si>
  <si>
    <t>International Research/Service Organization</t>
  </si>
  <si>
    <t>Specialty: medicines services and organize mental health related training; Services: medical services and organize mental health related training</t>
  </si>
  <si>
    <t>68, Shahed Tajuddin Sarani, Mohakhali, Dhaka</t>
  </si>
  <si>
    <t>https://www.icddrb.org</t>
  </si>
  <si>
    <t>+880 (0)2-2222-7701 to 10</t>
  </si>
  <si>
    <t>office time and call for details information</t>
  </si>
  <si>
    <t>Saturday-Friday (9 a.m. to 5 p.m.)</t>
  </si>
  <si>
    <t>Chittagong Medical College and Hospital, Chattogram</t>
  </si>
  <si>
    <t>57, K.B. Fazlul Kader road, P.S-Panchlaish, P.O Chawkbazar, Chattogram</t>
  </si>
  <si>
    <t>www.cmc.gov.bd</t>
  </si>
  <si>
    <t>outpatient services 8 a.m.-2 p.m. (except Friday &amp; government holidays)</t>
  </si>
  <si>
    <t>20 BDT</t>
  </si>
  <si>
    <t>57, K.B. Fazlul Kader Road, P.S- Panchlaish, P.O- Chawkbazar, Chattogram</t>
  </si>
  <si>
    <t>outdoor services 8 a.m.-2 p.m. (except Friday &amp; government holidays)</t>
  </si>
  <si>
    <t>Services: counselling and psychotherapy for violence victim</t>
  </si>
  <si>
    <t>cmtch@yahoo.com</t>
  </si>
  <si>
    <t>01713366635; 031-2854073</t>
  </si>
  <si>
    <t>Comilla Medical College and Hospital, Comilla</t>
  </si>
  <si>
    <t>Kuchaitoli, Dr Akhter Hameed Khan Road, Comilla 3500</t>
  </si>
  <si>
    <t>www.comh.gov.bd</t>
  </si>
  <si>
    <t>081-65401; 081-76343; +8801769-957089</t>
  </si>
  <si>
    <t>outdoor services 8 a.m.-2.30 p.m. (except Friday &amp; government holidays)</t>
  </si>
  <si>
    <t>Child Development Center, Comilla Medical College and Hospital, Comilla</t>
  </si>
  <si>
    <t>Cox’s Bazar Medical College and Hospital, Cox’s Bazar</t>
  </si>
  <si>
    <t>//coxmc.edu.bd/</t>
  </si>
  <si>
    <t>0341-513001; 0171-186518; 01794342467</t>
  </si>
  <si>
    <t>outdoor services 8 a.m.-2 p.m. (except Friday and government holidays)</t>
  </si>
  <si>
    <t>Child Development Center, Cox’s Bazar Medical College and Hospital, Cox’s Bazar</t>
  </si>
  <si>
    <t>0341-513001; 0176-288922; 01712-852706</t>
  </si>
  <si>
    <t>Rangamati Medical College &amp; Hospital, Rangamati</t>
  </si>
  <si>
    <t>www.rangamatimc.edu.bd</t>
  </si>
  <si>
    <t>0351-63821 (office); 0351-63817 (Principal); 01768-044556</t>
  </si>
  <si>
    <t>nmc@ac.dghs.gov.bd</t>
  </si>
  <si>
    <t>0321-54300; 01762-409480; 01741-190870</t>
  </si>
  <si>
    <t>Army Medical College Chittagong (AMCC)</t>
  </si>
  <si>
    <t>Chittagong</t>
  </si>
  <si>
    <t>afmcbd.academia.edu</t>
  </si>
  <si>
    <t>0312-580425</t>
  </si>
  <si>
    <t>outdoor services: 8 a.m. to 2 p.m. and indoor services</t>
  </si>
  <si>
    <t>www.amccomilla.edu.bd</t>
  </si>
  <si>
    <t>amccomilla2015@gmail.com</t>
  </si>
  <si>
    <t>081-80138</t>
  </si>
  <si>
    <t>Chattogram Mao-O-Shishu Hospital-Medical College, Chattogram</t>
  </si>
  <si>
    <t>Agrabad, Chattogram-4100</t>
  </si>
  <si>
    <t>www.cmoshbd.org</t>
  </si>
  <si>
    <t>+8801794-337009 (Help Desk); 88-02333320063; 88-023331457; 88-02333310534; 88-0233310536</t>
  </si>
  <si>
    <t>work 7 days a week, every day till 5 p.m. Contact the hotline for an emergency appointment</t>
  </si>
  <si>
    <t>Center for Autism and Child Development, Chattogram Mao-O-Shishu Hospital-Medical College, Chattogram</t>
  </si>
  <si>
    <t>Services: psychological assessment and children and adolescents</t>
  </si>
  <si>
    <t>01794-337009 (Help Desk); 880-31-2520063; 711236; 718521; 718525</t>
  </si>
  <si>
    <t>every day (Saturday-Friday: 24 hours). Contact the hotline for appointment and in emergency.</t>
  </si>
  <si>
    <t>www.ustc.ac.bd</t>
  </si>
  <si>
    <t>ctg@gmail.com</t>
  </si>
  <si>
    <t>88031659070-71(109)</t>
  </si>
  <si>
    <t>Epic Health Care Ltd., Chattogram</t>
  </si>
  <si>
    <t>Health Care Center</t>
  </si>
  <si>
    <t>http://epicl.com</t>
  </si>
  <si>
    <t>info@epicl.com; ehcl@gmail.com</t>
  </si>
  <si>
    <t>031 2598547; +8801984-499600; +8801847-005345; +8801847-005346; +8801815-146906</t>
  </si>
  <si>
    <t>Room No: 506, 2.30 p.m.-4 p.m.</t>
  </si>
  <si>
    <t>Hospital and Diagnostic Center</t>
  </si>
  <si>
    <t>psychiatric services</t>
  </si>
  <si>
    <t>V I P TOWER, S S K Road, Feni-3900</t>
  </si>
  <si>
    <t>01842 219101; 01872 717200</t>
  </si>
  <si>
    <t>Friday</t>
  </si>
  <si>
    <t>10 a.m. to 5 p.m.</t>
  </si>
  <si>
    <t>Good Heal Complex, Noakhali</t>
  </si>
  <si>
    <t>Hospital/Complex</t>
  </si>
  <si>
    <t>psychiatric, counseling and psychotherapy services</t>
  </si>
  <si>
    <t>Hospital Road, 3800 Maijdee Court, Noakhali</t>
  </si>
  <si>
    <t>01718-500280</t>
  </si>
  <si>
    <t>Comilla Toweri Road, Comilla-3500</t>
  </si>
  <si>
    <t>01742-477824</t>
  </si>
  <si>
    <t>Medinova Medical Services Ltd., Comilla</t>
  </si>
  <si>
    <t>Medical Services Center</t>
  </si>
  <si>
    <t>01744-232288; 01711-145365; 081-77563</t>
  </si>
  <si>
    <t>12 p.m. to 3 p.m.; 6 p.m. to 8 p.m.</t>
  </si>
  <si>
    <t>Prime Hospital Ltd., Noakhali</t>
  </si>
  <si>
    <t>Unit-1 General Hospital Road, Maijdee court, Noakhali-3800, Noakhali</t>
  </si>
  <si>
    <t>www.primehospitalltd.com</t>
  </si>
  <si>
    <t>primehospital12@gmail.com</t>
  </si>
  <si>
    <t>01716566923; 01712025995; 01313789001; 01313789002</t>
  </si>
  <si>
    <t>Zaman's Clinic &amp; Hospital, Comilla</t>
  </si>
  <si>
    <t>psychiatric and rehabilitation services</t>
  </si>
  <si>
    <t>Nangalkot, Comilla</t>
  </si>
  <si>
    <t>zamansclinic.com</t>
  </si>
  <si>
    <t>zamansbari@gmail.com</t>
  </si>
  <si>
    <t>08034622; 01715-471751; 01816-849003; 01772-205253</t>
  </si>
  <si>
    <t>8 a.m. to 9 p.m.</t>
  </si>
  <si>
    <t>Moon Hospital Ltd., Comilla</t>
  </si>
  <si>
    <t>Shahid Khwaja Nizamuddin Road, Jhautola, Comilla</t>
  </si>
  <si>
    <t>www.moonhospital.org</t>
  </si>
  <si>
    <t>01656-556655; 01717294611</t>
  </si>
  <si>
    <t>Saturday to Thursday; Friday</t>
  </si>
  <si>
    <t>2 p.m. to 9 p.m.; 8 a.m. to 8 p.m.</t>
  </si>
  <si>
    <t>Comilla Medical Centre (Pvt.) Ltd., Comilla</t>
  </si>
  <si>
    <t>Medical Centre</t>
  </si>
  <si>
    <t>0816-8921; +8801755-660833; +880171144786</t>
  </si>
  <si>
    <t>Thursday to Friday</t>
  </si>
  <si>
    <t>4 p.m. to 9 p.m.</t>
  </si>
  <si>
    <t>Jhawtola, Comilla</t>
  </si>
  <si>
    <t>081-74389; +8801842-221700; +8801703-504305</t>
  </si>
  <si>
    <t>H.R Hospital Pvt. Ltd., Comilla</t>
  </si>
  <si>
    <t>333, Jhawtola, Comilla</t>
  </si>
  <si>
    <t>10 p.m.</t>
  </si>
  <si>
    <t>01715-420221; 01726-066516</t>
  </si>
  <si>
    <t>call for detailed information</t>
  </si>
  <si>
    <t>LABAID Limited (Diagnostic), Comilla</t>
  </si>
  <si>
    <t>always open</t>
  </si>
  <si>
    <t>MIDLAND HOSPITAL (PVT) LTD</t>
  </si>
  <si>
    <t>1712-053205; 01819981266</t>
  </si>
  <si>
    <t>01777-166655; 01708-076575</t>
  </si>
  <si>
    <t>2 p.m. to 5 p.m.</t>
  </si>
  <si>
    <t>CD Path &amp; Hospital (Pvt.) Ltd.</t>
  </si>
  <si>
    <t>06802; 01711-795791; 01721-503971; 01780-692346</t>
  </si>
  <si>
    <t>everyday; Friday</t>
  </si>
  <si>
    <t>every day 3 p.m. to 7 p.m.; Friday 9 a.m. to 12 a.m.</t>
  </si>
  <si>
    <t>Mental Hospital</t>
  </si>
  <si>
    <t>01716-565003; 01878-464205; 01811-280538</t>
  </si>
  <si>
    <t>Eastern Medical College and Hospital, Comilla</t>
  </si>
  <si>
    <t>www.emccomilla.com</t>
  </si>
  <si>
    <t>emccomilla@yahoo.com; info@emccomilla.com</t>
  </si>
  <si>
    <t>01888-042163</t>
  </si>
  <si>
    <t>Mainamoti Medical College and Hospital, Comilla</t>
  </si>
  <si>
    <t>Barapara, Comilla Medical College, Comilla</t>
  </si>
  <si>
    <t>www.mmmch.edu.bd</t>
  </si>
  <si>
    <t>081-72671; 01764440408; 01916121971</t>
  </si>
  <si>
    <t>International Organization</t>
  </si>
  <si>
    <t>counseling services for beneficiaries</t>
  </si>
  <si>
    <t>www.technicalassistance.com</t>
  </si>
  <si>
    <t>sayeed@techai.com</t>
  </si>
  <si>
    <t>0341-51030; 01554-351707</t>
  </si>
  <si>
    <t>Kolatli, Cox's Bazar-4700</t>
  </si>
  <si>
    <t>www.actionagainsthunger.org</t>
  </si>
  <si>
    <t>021-550467</t>
  </si>
  <si>
    <t>Médecins Sans Frontières (MSF) Holland</t>
  </si>
  <si>
    <t>counseling services</t>
  </si>
  <si>
    <t>www.msf.org</t>
  </si>
  <si>
    <t>01844-050109</t>
  </si>
  <si>
    <t>www.iom.int</t>
  </si>
  <si>
    <t>0341-52196</t>
  </si>
  <si>
    <t>Rajshahi Medical College and Hospital, Rajshahi</t>
  </si>
  <si>
    <t>http://rmc.gov.bd/</t>
  </si>
  <si>
    <t>0721-772150</t>
  </si>
  <si>
    <t>outdoor service: 8 a.m. to 2 p.m. (except Friday and government holidays)</t>
  </si>
  <si>
    <t>RTCC, Rajshahi Medical College &amp; Hospital, Rajshahi</t>
  </si>
  <si>
    <t>Trauma/Counseling Center</t>
  </si>
  <si>
    <t>psychotherapy and counseling</t>
  </si>
  <si>
    <t>outdoor service 8:30 a.m. to 2 p.m. (except Friday and government holidays)</t>
  </si>
  <si>
    <t>Shishu Bikash Kendra, Rajshahi Medical College and Hospital</t>
  </si>
  <si>
    <t>psychological assessment and mental health care services for children and adolescents</t>
  </si>
  <si>
    <t>Shaheed M. Monsur Ali Medical College &amp; Hospital, Sirajganj (SMMAMC)</t>
  </si>
  <si>
    <t>http://www.smmamc.gov.bd/</t>
  </si>
  <si>
    <t>Shishu Bikash Kendra, Shaheed M.Monsur Ali Medical College &amp; Hospital, Sirajganj (SMMAMC)</t>
  </si>
  <si>
    <t>sbk.sirajni@gmail.com</t>
  </si>
  <si>
    <t>outdoor service 9 a.m. to 2 p.m. (except Friday and government holidays)</t>
  </si>
  <si>
    <t>outdoor service 8 a.m. to 2 p.m. (except Friday and government holidays)</t>
  </si>
  <si>
    <t>outdoor service: 9 a.m. to 2 p.m. except Friday and government holidays</t>
  </si>
  <si>
    <t>psychological assessment and mental health care for children and adolescents</t>
  </si>
  <si>
    <t>outdoor service: 8 a.m. to 2 p.m. except Friday and Government holidays</t>
  </si>
  <si>
    <t>http://www.pmc.edu.bd/</t>
  </si>
  <si>
    <t>0731-66231; 0731-62012</t>
  </si>
  <si>
    <t>psychiatric services (outdoor and indoor)</t>
  </si>
  <si>
    <t>0731-65581; 01716666555</t>
  </si>
  <si>
    <t>outdoor 8 a.m. to 2 p.m., except Friday and government holidays</t>
  </si>
  <si>
    <t>mental health service, counseling, and psychotherapy services (only for college students, teachers and staffs)</t>
  </si>
  <si>
    <t>mhcrc2021@gmail.com</t>
  </si>
  <si>
    <t>Sunday; Tuesday; Thursday</t>
  </si>
  <si>
    <t>10 a.m. to 2 p.m. (except govt. holidays)</t>
  </si>
  <si>
    <t>Mental Health Centre, Rajshahi University</t>
  </si>
  <si>
    <t>counseling, psychotherapy, and psychological assessment (only for students, teachers and staffs)</t>
  </si>
  <si>
    <t>01762866115; 02588864936</t>
  </si>
  <si>
    <t>10 a.m. to 5 p.m. (except govt. holidays)</t>
  </si>
  <si>
    <t>counseling and psychotherapy services and assessment (only for students, teachers and staffs)</t>
  </si>
  <si>
    <t>10 a.m. to 5 p.m. (except Friday and govt. holidays)</t>
  </si>
  <si>
    <t>Diagnostic Center and Hospital</t>
  </si>
  <si>
    <t>Sunday; Monday</t>
  </si>
  <si>
    <t>from 2 p.m. to 5 p.m.</t>
  </si>
  <si>
    <t>The Lab, E. B. Road, Sirajganj</t>
  </si>
  <si>
    <t>every Monday</t>
  </si>
  <si>
    <t>9 a.m. to 5 p.m.</t>
  </si>
  <si>
    <t>Dhaka Clinic, Al-Ruhama Plaza (2nd floor) Monohur Road (Joydebpur road), Ullapara Sirajganj</t>
  </si>
  <si>
    <t>Al-Ruhama Plaza (2nd floor) Monohur Road (Joydebpur Road), Ullapara, Sirajganj</t>
  </si>
  <si>
    <t>01713713950; 01711302301; 01799734040</t>
  </si>
  <si>
    <t>Tuesday</t>
  </si>
  <si>
    <t>4 p.m. to 6 p.m.</t>
  </si>
  <si>
    <t>Jumuna Hospital, Shamulia para, Ullapara, Sirajganj</t>
  </si>
  <si>
    <t>Shamulia para, Ullapara, Sirajganj</t>
  </si>
  <si>
    <t>01781397692; 01933508232</t>
  </si>
  <si>
    <t>every Monday from 5 p.m. to 7 p.m.</t>
  </si>
  <si>
    <t>Health Aid Diagnostic and Consultation Centre, Mujib Road Bogra</t>
  </si>
  <si>
    <t>Diagnostic and Consultation Centre</t>
  </si>
  <si>
    <t>Mujib Road, Bogra</t>
  </si>
  <si>
    <t>075162651; 01728293232; 01715508214</t>
  </si>
  <si>
    <t>Thursday; Friday</t>
  </si>
  <si>
    <t>3 p.m. to 7 p.m.</t>
  </si>
  <si>
    <t>Sirajganj Lab Aid Diagnostic Clinic Bogra Road Shialkol Bazar Sirajganj</t>
  </si>
  <si>
    <t>Diagnostic Clinic</t>
  </si>
  <si>
    <t>counseling and psychotherapy services</t>
  </si>
  <si>
    <t>Sirajganj Lab Aid Diagnostic Clinic, Bogra Road Shialcol Bazar sirajganj</t>
  </si>
  <si>
    <t>from 3 p.m. to 7 p.m.</t>
  </si>
  <si>
    <t>Enayetpur, Sirajganj</t>
  </si>
  <si>
    <t>http://kyamc.org/newsite/</t>
  </si>
  <si>
    <t>8 a.m. to 2 p.m. and indoor service</t>
  </si>
  <si>
    <t>Psychological Assessment and service for Improving Life Competencies (PASILC), Rajshahi</t>
  </si>
  <si>
    <t>Assessment and Counseling Center</t>
  </si>
  <si>
    <t>House-271, Road-2, Padma Residential Area, Vodra, Rajshahi</t>
  </si>
  <si>
    <t>www.pasil.com.bd</t>
  </si>
  <si>
    <t>01772225000; 0172714714</t>
  </si>
  <si>
    <t>Monday</t>
  </si>
  <si>
    <t>on call appointment (5 p.m. to 8 p.m. except Friday and Monday)</t>
  </si>
  <si>
    <t>Rajshahi Royal Hospital and Diagnostic Centre</t>
  </si>
  <si>
    <t>Hospital and Diagnostic Centre</t>
  </si>
  <si>
    <t>https://doctorsbd.com/royal-hospital-chittagong/</t>
  </si>
  <si>
    <t>0721-0771455; 01762685090</t>
  </si>
  <si>
    <t>4 p.m. to 8 p.m. (except Friday)</t>
  </si>
  <si>
    <t>psychiatric services and psychotherapy</t>
  </si>
  <si>
    <t>monaeral77@gmail.com</t>
  </si>
  <si>
    <t>8 a.m. to 7 p.m.</t>
  </si>
  <si>
    <t>Apon Bhubon, Rajshahi</t>
  </si>
  <si>
    <t>addiction treatment and rehabilitation, psychiatric, counseling and psychotherapy services</t>
  </si>
  <si>
    <t>aponuvbon75@gmail.com</t>
  </si>
  <si>
    <t>01717956734; 01726852912</t>
  </si>
  <si>
    <t>24 hours</t>
  </si>
  <si>
    <t>Crea, Rajshahi</t>
  </si>
  <si>
    <t>House-194, Road-4, Padma Residential area, Vodra, Rajshahi-6207</t>
  </si>
  <si>
    <t>www.creasociety.org</t>
  </si>
  <si>
    <t>Cure point Diagnostic Centre</t>
  </si>
  <si>
    <t>burhannp@gmail.com</t>
  </si>
  <si>
    <t>3 p.m. to 6 p.m.</t>
  </si>
  <si>
    <t>Simla hospital &amp; diagnostic center, Pabna</t>
  </si>
  <si>
    <t>Simla Tower, Thana More, Salgaria, Pabna Sadar</t>
  </si>
  <si>
    <t>https://shmlahospital.com/</t>
  </si>
  <si>
    <t>0731-6487; 01713228218; 01767613344</t>
  </si>
  <si>
    <t>3 p.m. to 8 p.m.</t>
  </si>
  <si>
    <t>Fair Health Consultancy and Diagnostic Center, Joypurhat</t>
  </si>
  <si>
    <t>Consultancy and Diagnostic Center</t>
  </si>
  <si>
    <t>Ansar Ali Complex, Sadar Road, Bata More, Joypurhat</t>
  </si>
  <si>
    <t>fairhealth.cc@gmail.com</t>
  </si>
  <si>
    <t>fairhealth.dcc@gmail.com</t>
  </si>
  <si>
    <t>01712278227; 057162846</t>
  </si>
  <si>
    <t>Thursday</t>
  </si>
  <si>
    <t>11 a.m. to 3 p.m.</t>
  </si>
  <si>
    <t>dikhin Tonthonia, Serpur Road, Bogura</t>
  </si>
  <si>
    <t>bs.snc64@gmail.com</t>
  </si>
  <si>
    <t>01911254537; 01751893546</t>
  </si>
  <si>
    <t>3 p.m. to 8 p.m. (except Friday)</t>
  </si>
  <si>
    <t>Popular Diagnostic Centre, Bogura</t>
  </si>
  <si>
    <t>https://www.populardiagnostic.com/</t>
  </si>
  <si>
    <t>Lab Aid Diagnostic Centre, Rajshahi</t>
  </si>
  <si>
    <t>house-612, Sershah Road, Rajpara, Laxmipur Rajshahi-6000</t>
  </si>
  <si>
    <t>www.labaid.com.bd</t>
  </si>
  <si>
    <t>Wednesday; Thursday</t>
  </si>
  <si>
    <t>Padma Clinic, Chapai-Nawabganj</t>
  </si>
  <si>
    <t>http://www.padmaclinic.net</t>
  </si>
  <si>
    <t>01723300778; 01941794931</t>
  </si>
  <si>
    <t>3 p.m. to 5 p.m.</t>
  </si>
  <si>
    <t>Islami Bank Community Hospital, Naogaon Limited</t>
  </si>
  <si>
    <t>ibchnaogaonltd@gmail.com</t>
  </si>
  <si>
    <t>01723300778; 01749231529</t>
  </si>
  <si>
    <t>11 a.m. to 12 p.m.; 2 p.m. to 3 p.m.</t>
  </si>
  <si>
    <t>Zaman Pathology, Rajshahi</t>
  </si>
  <si>
    <t>Pathology Center</t>
  </si>
  <si>
    <t>psychiatric services and counseling</t>
  </si>
  <si>
    <t>23, Lakshmipur, Greater Road, Rajshahi</t>
  </si>
  <si>
    <t>01723300778; 01723300779</t>
  </si>
  <si>
    <t>Tuesday; Friday</t>
  </si>
  <si>
    <t>Ma Clinic and Diagnostic Centre, Rajshahi</t>
  </si>
  <si>
    <t>Clinic and Diagnostic Centre</t>
  </si>
  <si>
    <t>Vobaniong Bazar, Bagmara, Rajshahi</t>
  </si>
  <si>
    <t>jobayer9999@gmail.com</t>
  </si>
  <si>
    <t>first and third Friday (8:30 a.m. to 12 p.m.)</t>
  </si>
  <si>
    <t>Anarkoli Lab And Consultation Centre, Joypurhat</t>
  </si>
  <si>
    <t>Lab and Consultation Centre</t>
  </si>
  <si>
    <t>every Sunday 2 p.m. to 8 p.m.</t>
  </si>
  <si>
    <t>Popular Diagnostic Centre Limited, Rajshahi</t>
  </si>
  <si>
    <t>www.populardiagnostic.com/</t>
  </si>
  <si>
    <t>Sher-E-Bangla Medical College Hospital, Barishal</t>
  </si>
  <si>
    <t>Band Road, Barishal</t>
  </si>
  <si>
    <t>http://sbmc.portal.gov.bd/</t>
  </si>
  <si>
    <t>0431-2173547</t>
  </si>
  <si>
    <t>outdoor services 8 a.m. to 2 p.m. (except Friday and government holidays)</t>
  </si>
  <si>
    <t>Child Development Center, Sher-E-Bangla Medical College Hospital, Barishal</t>
  </si>
  <si>
    <t>outdoor services 8 a.m. to 2 p.m. (Except Friday and government holidays)</t>
  </si>
  <si>
    <t>One Stop Crisis Center, Sher-E-Bangla Medical College Hospital, Barishal</t>
  </si>
  <si>
    <t>counseling and psychotherapy services for violence victim</t>
  </si>
  <si>
    <t>Sher-E-Bangla Medical College Hospital</t>
  </si>
  <si>
    <t>occ_bl@ yahoo.com</t>
  </si>
  <si>
    <t>outdoor services 8 a.m. to 2 p.m.</t>
  </si>
  <si>
    <t>Patuakhali Medical College Hospital, Patuakhali</t>
  </si>
  <si>
    <t>https://www.pkmc.gov.bd/</t>
  </si>
  <si>
    <t>01705-006606; 02478835325</t>
  </si>
  <si>
    <t>psychological assessment and mental health services for children and adolescents</t>
  </si>
  <si>
    <t>Beli View Hospital, Barishal</t>
  </si>
  <si>
    <t>114, Sadar Road Barishal</t>
  </si>
  <si>
    <t>0431-62266; 8801733063692; 8801733063690</t>
  </si>
  <si>
    <t>Popular Diagnostic Centre, Barishal</t>
  </si>
  <si>
    <t>109 &amp; 955 Shahid Nazrul Islam Sarak, South Alekanda, Bangla bazar, Barishal</t>
  </si>
  <si>
    <t>https://www.populardiagnostic.com/our-branch/31/Barishal/</t>
  </si>
  <si>
    <t>09666 787819; 09613 787819</t>
  </si>
  <si>
    <t>Treatment Center</t>
  </si>
  <si>
    <t>Rupatali, Bottola, Barishal</t>
  </si>
  <si>
    <t>srabonbari2@gmail.com</t>
  </si>
  <si>
    <t>01711102085; 01711013889</t>
  </si>
  <si>
    <t>Samsu Mia Garage, Nobogram Road, Barishal</t>
  </si>
  <si>
    <t>https://holycare.org/</t>
  </si>
  <si>
    <t>Rjja Mansion, 1 &amp; 2 B Pull, Barishal</t>
  </si>
  <si>
    <t>Crea Barishal</t>
  </si>
  <si>
    <t>addiction treatment &amp; rehabilitation, psychiatric, counseling and psychotherapy services</t>
  </si>
  <si>
    <t>Dhansri, Savo Road, Barishal</t>
  </si>
  <si>
    <t>Rangpur Medical College Hospital, Rangpur</t>
  </si>
  <si>
    <t>psychiatric services (outdoor and indoor services)</t>
  </si>
  <si>
    <t>rpmc.edu.bd</t>
  </si>
  <si>
    <t>8 a.m. to 2 p.m. (closed on Friday and Govt. holidays)</t>
  </si>
  <si>
    <t>Regional Trauma Counseling Center, Rangpur Medical College Hospital, Rangpur</t>
  </si>
  <si>
    <t>Trauma Counseling Center</t>
  </si>
  <si>
    <t>counseling and psychotherapy services for trauma survivors</t>
  </si>
  <si>
    <t>www.mspvaw.bd.com</t>
  </si>
  <si>
    <t>8 a.m. to 2 p.m. (closed on Fridays and government holidays)</t>
  </si>
  <si>
    <t>8 a.m. to 2 p.m. (closed on Fridays and government holiday)</t>
  </si>
  <si>
    <t>One Stop Crisis Center (OCC), Rangpur Medical Hospital Rangpur</t>
  </si>
  <si>
    <t>counseling and psychotherapy services for victims of violence</t>
  </si>
  <si>
    <t>Military Hospital</t>
  </si>
  <si>
    <t>psychiatric services (only for army person and their family members)</t>
  </si>
  <si>
    <t>Child Development Center, M Abdur Rahim Medical College Hospital, Dinajpur</t>
  </si>
  <si>
    <t>8 a.m. to 2 p.m. (closed on Friday and government holidays)</t>
  </si>
  <si>
    <t>Child Development Center, 250 bed General Hospital Kurigram</t>
  </si>
  <si>
    <t>nilphamari-govt.sbk@gmail.com</t>
  </si>
  <si>
    <t>Protibondhi Seba o Sahajhyo kendro, Rangpur</t>
  </si>
  <si>
    <t>Support Center</t>
  </si>
  <si>
    <t>counseling, physiotherapy, occupational therapy, speech and language therapy</t>
  </si>
  <si>
    <t>217, JIC Road, Thikadarpra mor, Alomnogor, Rangpur</t>
  </si>
  <si>
    <t>www.pssk.rangpur.gov.bd</t>
  </si>
  <si>
    <t>9 a.m. to 5 p.m. (closed on Friday, Saturday and government holiday)</t>
  </si>
  <si>
    <t>Protibondhi Seba o Sahajhyo kendro, Gaibandha</t>
  </si>
  <si>
    <t>9 a.m. to 5 p.m. (closed on Friday, Saturday and government holidays)</t>
  </si>
  <si>
    <t>Protibondhi Seba o Sahajhyo kendro, jatio protibondhi unnoyon foundation Dinajpur</t>
  </si>
  <si>
    <t>District Social Welfare complex, Ghoshipara, Dinajpur sadar, Dinajpur</t>
  </si>
  <si>
    <t>dinajpurpsok@gmail.com</t>
  </si>
  <si>
    <t>Protibondhi Seba o Sahajhyo kendra, Nilphamari</t>
  </si>
  <si>
    <t>AMS Hospital, Domarpara Road, Nilphamari</t>
  </si>
  <si>
    <t>Protibondhi Seba o Sahajhyo kendro, Kurigram</t>
  </si>
  <si>
    <t>Modhupur mor, Nimgari, Kurigram</t>
  </si>
  <si>
    <t>kurigramsodorpsok@gmail.com</t>
  </si>
  <si>
    <t>Protibondhi Seba o Sahajhyo kendro, Lalmonirhat</t>
  </si>
  <si>
    <t>Protibondhi Seba o Sahajhyo kendro, Thakurgaon</t>
  </si>
  <si>
    <t>Sharim mor, sadar, Thakurgaon</t>
  </si>
  <si>
    <t>Protibondhi Seba o Sahajhyo kendro, Panchagarh</t>
  </si>
  <si>
    <t>Momota vila, Sadar, opposite to social service office, Panchagarh</t>
  </si>
  <si>
    <t>9 a.m. to 5 p.m. (closed Friday, Saturday and government holidays)</t>
  </si>
  <si>
    <t>Cadet College Counseling Service</t>
  </si>
  <si>
    <t>counseling (only for cadet students)</t>
  </si>
  <si>
    <t>052162002; 0173722622</t>
  </si>
  <si>
    <t>Cantonment Public School and College, Rangpur</t>
  </si>
  <si>
    <t>School Counseling Service</t>
  </si>
  <si>
    <t>counseling (only for students)</t>
  </si>
  <si>
    <t>8 a.m.-2 p.m. (closed on Friday, Saturday and government holidays)</t>
  </si>
  <si>
    <t>Rangpur Medical College Hospital, Pirajbad, Badorgonj Road, Rangpur</t>
  </si>
  <si>
    <t>http://pmc-bd.org/</t>
  </si>
  <si>
    <t>pmcrangpur@gmail.com; info@pmcbc.org</t>
  </si>
  <si>
    <t>01730033166; 01882004480</t>
  </si>
  <si>
    <t>Consultation and Diagnostic Center</t>
  </si>
  <si>
    <t>01712087803; 01308123453</t>
  </si>
  <si>
    <t>3 p.m. to 10 p.m. (closed on Fridays)</t>
  </si>
  <si>
    <t>Labaid limited Diagnostic Center, Rangpur</t>
  </si>
  <si>
    <t>4 p.m. to 8 p.m. (closed on Thursday, Friday and government holidays)</t>
  </si>
  <si>
    <t>4 p.m. to 9 p.m. (closed on Fridays)</t>
  </si>
  <si>
    <t>Dhap, Jail road, Rangpur</t>
  </si>
  <si>
    <t>Sun Diagnostic center, Rangpur</t>
  </si>
  <si>
    <t>Dhap, Medical More, opposite of Cantonment Public School, Rangpur</t>
  </si>
  <si>
    <t>3 p.m. to 7 p.m. (Friday closed)</t>
  </si>
  <si>
    <t>Prescription Point Diagnostic Center, Rangpur</t>
  </si>
  <si>
    <t>01711143291; 013979555</t>
  </si>
  <si>
    <t>Shifa Cantonment General Hospital, Rangpur</t>
  </si>
  <si>
    <t>No 1 Checpost, opposite of Cantonment, Rangpur</t>
  </si>
  <si>
    <t>4 p.m. to 8 p.m. (closed on Fridays)</t>
  </si>
  <si>
    <t>Dhap Scientific lab, Rangpur</t>
  </si>
  <si>
    <t>Diagnostic/Lab Center</t>
  </si>
  <si>
    <t>4 p.m. to 10 p.m. (closed on Fridays)</t>
  </si>
  <si>
    <t>Lab/Diagnostic Center</t>
  </si>
  <si>
    <t>01739542674; 01843881178</t>
  </si>
  <si>
    <t>Patient diagnostic Center, Rangpur</t>
  </si>
  <si>
    <t>mdcareservice2021@gmail.com</t>
  </si>
  <si>
    <t>01797929534; 01761362020</t>
  </si>
  <si>
    <t>4 p.m. to 10 p.m.</t>
  </si>
  <si>
    <t>Rangpur Digital Diagnostic Center, Rangpur</t>
  </si>
  <si>
    <t>Shamim Complex, 1st floor, adjacent to over bridge, Medical More, Dhap, Rangpur</t>
  </si>
  <si>
    <t>4 p.m. to 7 p.m. (closed on Fridays)</t>
  </si>
  <si>
    <t>S.N Bandon drug rehabilitation center, Rangpur</t>
  </si>
  <si>
    <t>01731 011711</t>
  </si>
  <si>
    <t>Drug Rehabilitation/Treatment Center</t>
  </si>
  <si>
    <t>Fridays</t>
  </si>
  <si>
    <t>9 a.m. to 4 p.m.</t>
  </si>
  <si>
    <t>Seydup Plaza, Cinema Road, Syedpur</t>
  </si>
  <si>
    <t>7 a.m. to 4 p.m.</t>
  </si>
  <si>
    <t>Punorvoba Diagnostic Center, Dinajpur</t>
  </si>
  <si>
    <t>Pous Hospital Mor, Balubari, Dinajpur</t>
  </si>
  <si>
    <t>3 p.m. to 8 p.m. (closed on Fridays)</t>
  </si>
  <si>
    <t>Fear X-ray and Pathology, Thakurgaon</t>
  </si>
  <si>
    <t>Diagnostic/Pathology Center</t>
  </si>
  <si>
    <t>Clinic Lane, Hajipara, Thakurgon</t>
  </si>
  <si>
    <t>Nazma Diagnostic Centre, Dinajpur</t>
  </si>
  <si>
    <t>Tuesdays</t>
  </si>
  <si>
    <t>Seba Diagnostic, Dinajpur</t>
  </si>
  <si>
    <t>5 p.m. to 11 p.m.</t>
  </si>
  <si>
    <t>01748939123; 01819859924</t>
  </si>
  <si>
    <t>Saturdays</t>
  </si>
  <si>
    <t>10 a.m. to 2 p.m.</t>
  </si>
  <si>
    <t>Friend's/ Apollo hospital and diagnostic center, Thakurgaon</t>
  </si>
  <si>
    <t>Bangabandhu Sarak, opposite of fire service, Thakurgonj</t>
  </si>
  <si>
    <t>10 a.m. to 7 p.m.</t>
  </si>
  <si>
    <t>Update Diagnostic and Consultation Center, Panchogorh</t>
  </si>
  <si>
    <t>M.R College more, Tetulia Road, Phanchogorh</t>
  </si>
  <si>
    <t>01715155619; 01716559998</t>
  </si>
  <si>
    <t>10 a.m. to 11 a.m.; 2 p.m.</t>
  </si>
  <si>
    <t>Pacific Labzone, Nilphamari</t>
  </si>
  <si>
    <t>Sodor; to staff quarter, Sodor, Nilphamari</t>
  </si>
  <si>
    <t>Thursdays</t>
  </si>
  <si>
    <t>New Medinova Doctors Zone and Diagnostic Centre, Thakurgo</t>
  </si>
  <si>
    <t>10 a.m. to 11 a.m.; 5 p.m.</t>
  </si>
  <si>
    <t>Community Hospital</t>
  </si>
  <si>
    <t>01815777316; 01740357250</t>
  </si>
  <si>
    <t>Tuesday; Wednesday</t>
  </si>
  <si>
    <t>Thakurgon Sadar, Thakurgon</t>
  </si>
  <si>
    <t>Terre Des Hommes, Kurigram</t>
  </si>
  <si>
    <t>mental health awareness meeting with survivors</t>
  </si>
  <si>
    <t>9 a.m. to 5 p.m. (closed on Fridays and Saturdays)</t>
  </si>
  <si>
    <t>Institute of Education Development, Brac, Rangpur</t>
  </si>
  <si>
    <t>NGO/Education Institute</t>
  </si>
  <si>
    <t>general mental health service; only for their school students and parents</t>
  </si>
  <si>
    <t>9 a.m. to 2 p.m.</t>
  </si>
  <si>
    <t>www.magosmanimedical.com</t>
  </si>
  <si>
    <t>0821-713667; 01716-114516</t>
  </si>
  <si>
    <t>8 a.m. to 2 p.m. (except Friday and government holidays)</t>
  </si>
  <si>
    <t>Regional Trauma Counselling Centre Sylhet</t>
  </si>
  <si>
    <t>Sylhet MAG Osmani Medical College Hospital, Sylhet_3100</t>
  </si>
  <si>
    <t>0821-713667</t>
  </si>
  <si>
    <t>8 a.m. to 2 p.m. (except Fridays and government Holidays)</t>
  </si>
  <si>
    <t>Shishu Bikash Kendra, Sylhet</t>
  </si>
  <si>
    <t>Shishu Bikash Kendra, Department of Pediatrics, 2nd floor of outdoor building, Sylhet MAG Osmani Medical College Hospital, Kajolshah, Sylhet-3100</t>
  </si>
  <si>
    <t>sbk_sylhet_mch@yahoo.com</t>
  </si>
  <si>
    <t>01733-349056</t>
  </si>
  <si>
    <t>8 a.m. to 2 p.m. (except Fridays and government holidays)</t>
  </si>
  <si>
    <t>Protibondhi Sheba o Shahajjo Kendra, Sylhet</t>
  </si>
  <si>
    <t>counselling, physiotherapy, occupational therapy, speech and language therapy</t>
  </si>
  <si>
    <t>www.msw.gov.bd</t>
  </si>
  <si>
    <t>0821-728680; 01722027949; 01721-130723</t>
  </si>
  <si>
    <t>8 a.m. to 5 p.m. (except Fridays and government holidays)</t>
  </si>
  <si>
    <t>Protibondhi Sheba o Shahajjo Kendra, Bishonath, Sylhet</t>
  </si>
  <si>
    <t>Hazi Chaim Ullah Complex (Pach Tola Bari), Purbo Janaiya Road, Bishonath-3130, Sylhet</t>
  </si>
  <si>
    <t>01918-843130; 01717-640903</t>
  </si>
  <si>
    <t>Students Counselling and Guidance Office (SUST)</t>
  </si>
  <si>
    <t>University Counseling Office</t>
  </si>
  <si>
    <t>student counseling and guidance only for SUST students</t>
  </si>
  <si>
    <t>Shahjalal University of Science and Technology, Sylhet-3114, Bangladesh</t>
  </si>
  <si>
    <t>www.sust.edu</t>
  </si>
  <si>
    <t>csg@sust.edu</t>
  </si>
  <si>
    <t>8 a.m. to 5 p.m. (except Friday and government holidays)</t>
  </si>
  <si>
    <t>jrrmc.edu.bd</t>
  </si>
  <si>
    <t>0821-190906</t>
  </si>
  <si>
    <t>Northeast Medical College and Hospital, Sylhet</t>
  </si>
  <si>
    <t>www.nemc.edu.bd</t>
  </si>
  <si>
    <t>info@nemc.edu.bd; nemc1998@gmail.com</t>
  </si>
  <si>
    <t>01715-944733; 01794-448905</t>
  </si>
  <si>
    <t>10 a.m. to 1 p.m. (except Fridays and government holidays)</t>
  </si>
  <si>
    <t>300 BDT</t>
  </si>
  <si>
    <t>Mirboxtola, Sylhet-3100</t>
  </si>
  <si>
    <t>www.swmc.edu.bd</t>
  </si>
  <si>
    <t>0299-6636122; 0299-6636123</t>
  </si>
  <si>
    <t>8 a.m. to 1 p.m. (except Friday and government holidays)</t>
  </si>
  <si>
    <t>100-500 BDT</t>
  </si>
  <si>
    <t>Parkview Medical College and Hospital, Sylhet</t>
  </si>
  <si>
    <t>www.pmhc.edu.bd</t>
  </si>
  <si>
    <t>pmcsylhet2013@gmail.com</t>
  </si>
  <si>
    <t>01746-094823; 01849-868959</t>
  </si>
  <si>
    <t>10 a.m. to 12 p.m. (except Fridays and government holidays)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</si>
</sst>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6099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4" borderId="0" xfId="0" applyFont="1" applyFill="1" applyAlignment="1">
      <alignment horizontal="left" vertical="top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newmukticlinic@gmail.com" TargetMode="External"/><Relationship Id="rId21" Type="http://schemas.openxmlformats.org/officeDocument/2006/relationships/hyperlink" Target="mailto:info@dsh.org.bd" TargetMode="External"/><Relationship Id="rId63" Type="http://schemas.openxmlformats.org/officeDocument/2006/relationships/hyperlink" Target="mailto:office09@bmc-bd.org" TargetMode="External"/><Relationship Id="rId159" Type="http://schemas.openxmlformats.org/officeDocument/2006/relationships/hyperlink" Target="mailto:comch@hospi.dghs.gov.bd" TargetMode="External"/><Relationship Id="rId170" Type="http://schemas.openxmlformats.org/officeDocument/2006/relationships/hyperlink" Target="http://www.cmoshbd.org/" TargetMode="External"/><Relationship Id="rId226" Type="http://schemas.openxmlformats.org/officeDocument/2006/relationships/hyperlink" Target="mailto:rajshahi@labaidgroup.com" TargetMode="External"/><Relationship Id="rId268" Type="http://schemas.openxmlformats.org/officeDocument/2006/relationships/hyperlink" Target="http://www.nemc.edu.bd/" TargetMode="External"/><Relationship Id="rId11" Type="http://schemas.openxmlformats.org/officeDocument/2006/relationships/hyperlink" Target="mailto:kurmitolasoebed@hospi.dghs.gov.bd" TargetMode="External"/><Relationship Id="rId32" Type="http://schemas.openxmlformats.org/officeDocument/2006/relationships/hyperlink" Target="mailto:ntccbd@yahoo.com" TargetMode="External"/><Relationship Id="rId53" Type="http://schemas.openxmlformats.org/officeDocument/2006/relationships/hyperlink" Target="https://du.ac.bd/offices/OGC" TargetMode="External"/><Relationship Id="rId74" Type="http://schemas.openxmlformats.org/officeDocument/2006/relationships/hyperlink" Target="http://www.gonosvmc.edu.bd/" TargetMode="External"/><Relationship Id="rId128" Type="http://schemas.openxmlformats.org/officeDocument/2006/relationships/hyperlink" Target="mailto:tangailclinicandhospital@gmail.com" TargetMode="External"/><Relationship Id="rId149" Type="http://schemas.openxmlformats.org/officeDocument/2006/relationships/hyperlink" Target="mailto:freedomwithin247@gmail.com" TargetMode="External"/><Relationship Id="rId5" Type="http://schemas.openxmlformats.org/officeDocument/2006/relationships/hyperlink" Target="http://www.ssmchd.net/" TargetMode="External"/><Relationship Id="rId95" Type="http://schemas.openxmlformats.org/officeDocument/2006/relationships/hyperlink" Target="http://www.shuni.org/" TargetMode="External"/><Relationship Id="rId160" Type="http://schemas.openxmlformats.org/officeDocument/2006/relationships/hyperlink" Target="http://www.comh.gov.bd/" TargetMode="External"/><Relationship Id="rId181" Type="http://schemas.openxmlformats.org/officeDocument/2006/relationships/hyperlink" Target="mailto:navanahospitalpvt@gmail.com" TargetMode="External"/><Relationship Id="rId216" Type="http://schemas.openxmlformats.org/officeDocument/2006/relationships/hyperlink" Target="http://www.creasociety.org/" TargetMode="External"/><Relationship Id="rId237" Type="http://schemas.openxmlformats.org/officeDocument/2006/relationships/hyperlink" Target="mailto:patuakhalimc@ac.dghs.gov.bd" TargetMode="External"/><Relationship Id="rId258" Type="http://schemas.openxmlformats.org/officeDocument/2006/relationships/hyperlink" Target="mailto:mdcareservice2021@gmail.com" TargetMode="External"/><Relationship Id="rId22" Type="http://schemas.openxmlformats.org/officeDocument/2006/relationships/hyperlink" Target="mailto:sskmc@ac.dghs.gov.bd" TargetMode="External"/><Relationship Id="rId43" Type="http://schemas.openxmlformats.org/officeDocument/2006/relationships/hyperlink" Target="mailto:stamc@ac.dghs.gov.bd" TargetMode="External"/><Relationship Id="rId64" Type="http://schemas.openxmlformats.org/officeDocument/2006/relationships/hyperlink" Target="https://bpsychiatriccare.com/" TargetMode="External"/><Relationship Id="rId118" Type="http://schemas.openxmlformats.org/officeDocument/2006/relationships/hyperlink" Target="https://padma-bd.com/" TargetMode="External"/><Relationship Id="rId139" Type="http://schemas.openxmlformats.org/officeDocument/2006/relationships/hyperlink" Target="https://wevolvebd.org/" TargetMode="External"/><Relationship Id="rId85" Type="http://schemas.openxmlformats.org/officeDocument/2006/relationships/hyperlink" Target="mailto:info@hfcrmc.edu.bd" TargetMode="External"/><Relationship Id="rId150" Type="http://schemas.openxmlformats.org/officeDocument/2006/relationships/hyperlink" Target="https://www.crp-bangladesh.org/" TargetMode="External"/><Relationship Id="rId171" Type="http://schemas.openxmlformats.org/officeDocument/2006/relationships/hyperlink" Target="mailto:cmoshctg@gmail.com" TargetMode="External"/><Relationship Id="rId192" Type="http://schemas.openxmlformats.org/officeDocument/2006/relationships/hyperlink" Target="http://www.iom.int/" TargetMode="External"/><Relationship Id="rId206" Type="http://schemas.openxmlformats.org/officeDocument/2006/relationships/hyperlink" Target="mailto:natore@hospi.dghs.gov.bd" TargetMode="External"/><Relationship Id="rId227" Type="http://schemas.openxmlformats.org/officeDocument/2006/relationships/hyperlink" Target="http://www.padmaclinic.net/" TargetMode="External"/><Relationship Id="rId248" Type="http://schemas.openxmlformats.org/officeDocument/2006/relationships/hyperlink" Target="mailto:nilphamari-govt.sbk@gmail.com" TargetMode="External"/><Relationship Id="rId269" Type="http://schemas.openxmlformats.org/officeDocument/2006/relationships/hyperlink" Target="http://www.swmc.edu.bd/" TargetMode="External"/><Relationship Id="rId12" Type="http://schemas.openxmlformats.org/officeDocument/2006/relationships/hyperlink" Target="mailto:kurmitolasoebed@hospi.dghs.gov.bd" TargetMode="External"/><Relationship Id="rId33" Type="http://schemas.openxmlformats.org/officeDocument/2006/relationships/hyperlink" Target="http://www.nins.gov.bd/" TargetMode="External"/><Relationship Id="rId108" Type="http://schemas.openxmlformats.org/officeDocument/2006/relationships/hyperlink" Target="http://www.medinovamedicalbd.com/" TargetMode="External"/><Relationship Id="rId129" Type="http://schemas.openxmlformats.org/officeDocument/2006/relationships/hyperlink" Target="https://trin.healthcare/" TargetMode="External"/><Relationship Id="rId54" Type="http://schemas.openxmlformats.org/officeDocument/2006/relationships/hyperlink" Target="http://www.juniv.edu/" TargetMode="External"/><Relationship Id="rId75" Type="http://schemas.openxmlformats.org/officeDocument/2006/relationships/hyperlink" Target="mailto:info@gonosvmc.edu.bd" TargetMode="External"/><Relationship Id="rId96" Type="http://schemas.openxmlformats.org/officeDocument/2006/relationships/hyperlink" Target="mailto:info.shuni@gmail.com" TargetMode="External"/><Relationship Id="rId140" Type="http://schemas.openxmlformats.org/officeDocument/2006/relationships/hyperlink" Target="mailto:info@wevolvebd.org" TargetMode="External"/><Relationship Id="rId161" Type="http://schemas.openxmlformats.org/officeDocument/2006/relationships/hyperlink" Target="mailto:comch@hospi.dghs.gov.bd" TargetMode="External"/><Relationship Id="rId182" Type="http://schemas.openxmlformats.org/officeDocument/2006/relationships/hyperlink" Target="http://www.labaidgroup.com/" TargetMode="External"/><Relationship Id="rId217" Type="http://schemas.openxmlformats.org/officeDocument/2006/relationships/hyperlink" Target="mailto:info@creasociety.org" TargetMode="External"/><Relationship Id="rId6" Type="http://schemas.openxmlformats.org/officeDocument/2006/relationships/hyperlink" Target="mailto:ssmc@ac.dghs.gov.bd" TargetMode="External"/><Relationship Id="rId238" Type="http://schemas.openxmlformats.org/officeDocument/2006/relationships/hyperlink" Target="https://www.populardiagnostic.com/our-branch/31/Barishal/" TargetMode="External"/><Relationship Id="rId259" Type="http://schemas.openxmlformats.org/officeDocument/2006/relationships/hyperlink" Target="http://www.magosmanimedical.com/" TargetMode="External"/><Relationship Id="rId23" Type="http://schemas.openxmlformats.org/officeDocument/2006/relationships/hyperlink" Target="https://stamc.edu.bd/" TargetMode="External"/><Relationship Id="rId119" Type="http://schemas.openxmlformats.org/officeDocument/2006/relationships/hyperlink" Target="mailto:info@padma-bd.com" TargetMode="External"/><Relationship Id="rId270" Type="http://schemas.openxmlformats.org/officeDocument/2006/relationships/hyperlink" Target="mailto:info@swmc.edu.bd" TargetMode="External"/><Relationship Id="rId44" Type="http://schemas.openxmlformats.org/officeDocument/2006/relationships/hyperlink" Target="mailto:shmctangail@hospi.dghs.gov.bd" TargetMode="External"/><Relationship Id="rId65" Type="http://schemas.openxmlformats.org/officeDocument/2006/relationships/hyperlink" Target="mailto:contact@psychiatriccare.com.bd" TargetMode="External"/><Relationship Id="rId86" Type="http://schemas.openxmlformats.org/officeDocument/2006/relationships/hyperlink" Target="http://www.ibsinatrust.com/" TargetMode="External"/><Relationship Id="rId130" Type="http://schemas.openxmlformats.org/officeDocument/2006/relationships/hyperlink" Target="https://www.uhlbd.com/" TargetMode="External"/><Relationship Id="rId151" Type="http://schemas.openxmlformats.org/officeDocument/2006/relationships/hyperlink" Target="mailto:info@crp-bangladesh.org" TargetMode="External"/><Relationship Id="rId172" Type="http://schemas.openxmlformats.org/officeDocument/2006/relationships/hyperlink" Target="http://www.cmoshbd.org/" TargetMode="External"/><Relationship Id="rId193" Type="http://schemas.openxmlformats.org/officeDocument/2006/relationships/hyperlink" Target="http://rmc.gov.bd/" TargetMode="External"/><Relationship Id="rId207" Type="http://schemas.openxmlformats.org/officeDocument/2006/relationships/hyperlink" Target="http://www.pmc.edu.bd/" TargetMode="External"/><Relationship Id="rId228" Type="http://schemas.openxmlformats.org/officeDocument/2006/relationships/hyperlink" Target="mailto:ibchnaogaonltd@gmail.com" TargetMode="External"/><Relationship Id="rId249" Type="http://schemas.openxmlformats.org/officeDocument/2006/relationships/hyperlink" Target="http://www.pssk.rangpur.gov.bd/" TargetMode="External"/><Relationship Id="rId13" Type="http://schemas.openxmlformats.org/officeDocument/2006/relationships/hyperlink" Target="http://mumc.gov.bd/" TargetMode="External"/><Relationship Id="rId109" Type="http://schemas.openxmlformats.org/officeDocument/2006/relationships/hyperlink" Target="mailto:monochikitsaloy@gmail.com" TargetMode="External"/><Relationship Id="rId260" Type="http://schemas.openxmlformats.org/officeDocument/2006/relationships/hyperlink" Target="mailto:magomch@hospi.dghs.gov.bd" TargetMode="External"/><Relationship Id="rId34" Type="http://schemas.openxmlformats.org/officeDocument/2006/relationships/hyperlink" Target="mailto:nins@hospi.dghs.gov.bd" TargetMode="External"/><Relationship Id="rId55" Type="http://schemas.openxmlformats.org/officeDocument/2006/relationships/hyperlink" Target="https://acidsurvivors.org/" TargetMode="External"/><Relationship Id="rId76" Type="http://schemas.openxmlformats.org/officeDocument/2006/relationships/hyperlink" Target="https://greenlife.edu.bd/" TargetMode="External"/><Relationship Id="rId97" Type="http://schemas.openxmlformats.org/officeDocument/2006/relationships/hyperlink" Target="http://www.labaidgroup.com/" TargetMode="External"/><Relationship Id="rId120" Type="http://schemas.openxmlformats.org/officeDocument/2006/relationships/hyperlink" Target="mailto:monerbondhu16@gmail.com" TargetMode="External"/><Relationship Id="rId141" Type="http://schemas.openxmlformats.org/officeDocument/2006/relationships/hyperlink" Target="http://www.beaconpointbd.com/" TargetMode="External"/><Relationship Id="rId7" Type="http://schemas.openxmlformats.org/officeDocument/2006/relationships/hyperlink" Target="http://www.shsmc.gov.bd/" TargetMode="External"/><Relationship Id="rId162" Type="http://schemas.openxmlformats.org/officeDocument/2006/relationships/hyperlink" Target="mailto:coxmc@ac.dghs.gov.bd" TargetMode="External"/><Relationship Id="rId183" Type="http://schemas.openxmlformats.org/officeDocument/2006/relationships/hyperlink" Target="mailto:alamin@labaidgroup.com" TargetMode="External"/><Relationship Id="rId218" Type="http://schemas.openxmlformats.org/officeDocument/2006/relationships/hyperlink" Target="mailto:burhannp@gmail.com" TargetMode="External"/><Relationship Id="rId239" Type="http://schemas.openxmlformats.org/officeDocument/2006/relationships/hyperlink" Target="mailto:info@populardiagnostic.com" TargetMode="External"/><Relationship Id="rId250" Type="http://schemas.openxmlformats.org/officeDocument/2006/relationships/hyperlink" Target="mailto:rangpurpsok@gmail.com" TargetMode="External"/><Relationship Id="rId271" Type="http://schemas.openxmlformats.org/officeDocument/2006/relationships/hyperlink" Target="http://www.pmhc.edu.bd/" TargetMode="External"/><Relationship Id="rId24" Type="http://schemas.openxmlformats.org/officeDocument/2006/relationships/hyperlink" Target="mailto:stamc@ac.dghs.gov.bd" TargetMode="External"/><Relationship Id="rId45" Type="http://schemas.openxmlformats.org/officeDocument/2006/relationships/hyperlink" Target="https://www.npudud.org/" TargetMode="External"/><Relationship Id="rId66" Type="http://schemas.openxmlformats.org/officeDocument/2006/relationships/hyperlink" Target="mailto:cmhcbd2015@gmail.com" TargetMode="External"/><Relationship Id="rId87" Type="http://schemas.openxmlformats.org/officeDocument/2006/relationships/hyperlink" Target="mailto:info@ibsinatrust.com" TargetMode="External"/><Relationship Id="rId110" Type="http://schemas.openxmlformats.org/officeDocument/2006/relationships/hyperlink" Target="mailto:tauirailsam75@gmail.com" TargetMode="External"/><Relationship Id="rId131" Type="http://schemas.openxmlformats.org/officeDocument/2006/relationships/hyperlink" Target="mailto:info@uhlbd.com" TargetMode="External"/><Relationship Id="rId152" Type="http://schemas.openxmlformats.org/officeDocument/2006/relationships/hyperlink" Target="https://www.icddrb.org/" TargetMode="External"/><Relationship Id="rId173" Type="http://schemas.openxmlformats.org/officeDocument/2006/relationships/hyperlink" Target="mailto:cmoshctg@gmail.com" TargetMode="External"/><Relationship Id="rId194" Type="http://schemas.openxmlformats.org/officeDocument/2006/relationships/hyperlink" Target="mailto:rmch@hosh.dghs.gov.bd" TargetMode="External"/><Relationship Id="rId208" Type="http://schemas.openxmlformats.org/officeDocument/2006/relationships/hyperlink" Target="http://www.pmc.edu.bd/" TargetMode="External"/><Relationship Id="rId229" Type="http://schemas.openxmlformats.org/officeDocument/2006/relationships/hyperlink" Target="mailto:jobayer9999@gmail.com" TargetMode="External"/><Relationship Id="rId240" Type="http://schemas.openxmlformats.org/officeDocument/2006/relationships/hyperlink" Target="mailto:srabonbari2@gmail.com" TargetMode="External"/><Relationship Id="rId261" Type="http://schemas.openxmlformats.org/officeDocument/2006/relationships/hyperlink" Target="http://www.magosmanimedical.com/" TargetMode="External"/><Relationship Id="rId14" Type="http://schemas.openxmlformats.org/officeDocument/2006/relationships/hyperlink" Target="http://www.dmc.gov.bd/" TargetMode="External"/><Relationship Id="rId35" Type="http://schemas.openxmlformats.org/officeDocument/2006/relationships/hyperlink" Target="https://cmmc.gov.bd/" TargetMode="External"/><Relationship Id="rId56" Type="http://schemas.openxmlformats.org/officeDocument/2006/relationships/hyperlink" Target="mailto:asf@acidsurvivors.org" TargetMode="External"/><Relationship Id="rId77" Type="http://schemas.openxmlformats.org/officeDocument/2006/relationships/hyperlink" Target="mailto:contact@greenlife.edu.bd" TargetMode="External"/><Relationship Id="rId100" Type="http://schemas.openxmlformats.org/officeDocument/2006/relationships/hyperlink" Target="mailto:info@labaidgroup.com" TargetMode="External"/><Relationship Id="rId8" Type="http://schemas.openxmlformats.org/officeDocument/2006/relationships/hyperlink" Target="mailto:shsmc@ac.dghs.gov.bd" TargetMode="External"/><Relationship Id="rId98" Type="http://schemas.openxmlformats.org/officeDocument/2006/relationships/hyperlink" Target="mailto:info@labaidgroup.com" TargetMode="External"/><Relationship Id="rId121" Type="http://schemas.openxmlformats.org/officeDocument/2006/relationships/hyperlink" Target="https://www.protoymedical.com/" TargetMode="External"/><Relationship Id="rId142" Type="http://schemas.openxmlformats.org/officeDocument/2006/relationships/hyperlink" Target="mailto:info@beaconpointbd.com" TargetMode="External"/><Relationship Id="rId163" Type="http://schemas.openxmlformats.org/officeDocument/2006/relationships/hyperlink" Target="http://www.rangamatimc.edu.bd/" TargetMode="External"/><Relationship Id="rId184" Type="http://schemas.openxmlformats.org/officeDocument/2006/relationships/hyperlink" Target="mailto:mripointcumilla@gmail.com" TargetMode="External"/><Relationship Id="rId219" Type="http://schemas.openxmlformats.org/officeDocument/2006/relationships/hyperlink" Target="https://shmlahospital.com/" TargetMode="External"/><Relationship Id="rId230" Type="http://schemas.openxmlformats.org/officeDocument/2006/relationships/hyperlink" Target="http://www.populardiagnostic.com/" TargetMode="External"/><Relationship Id="rId251" Type="http://schemas.openxmlformats.org/officeDocument/2006/relationships/hyperlink" Target="mailto:gaibandhapsok@gmail.com" TargetMode="External"/><Relationship Id="rId25" Type="http://schemas.openxmlformats.org/officeDocument/2006/relationships/hyperlink" Target="mailto:shmchtangail@hospi.dghs.gov.bd" TargetMode="External"/><Relationship Id="rId46" Type="http://schemas.openxmlformats.org/officeDocument/2006/relationships/hyperlink" Target="mailto:du@gmail.com" TargetMode="External"/><Relationship Id="rId67" Type="http://schemas.openxmlformats.org/officeDocument/2006/relationships/hyperlink" Target="https://www.comfortbd.com/" TargetMode="External"/><Relationship Id="rId272" Type="http://schemas.openxmlformats.org/officeDocument/2006/relationships/hyperlink" Target="mailto:pmcsylhet2013@gmail.com" TargetMode="External"/><Relationship Id="rId88" Type="http://schemas.openxmlformats.org/officeDocument/2006/relationships/hyperlink" Target="https://www.ibsinatrust.com/" TargetMode="External"/><Relationship Id="rId111" Type="http://schemas.openxmlformats.org/officeDocument/2006/relationships/hyperlink" Target="mailto:monojagotcentre1986@gmail.com" TargetMode="External"/><Relationship Id="rId132" Type="http://schemas.openxmlformats.org/officeDocument/2006/relationships/hyperlink" Target="https://www.uchbd.com/" TargetMode="External"/><Relationship Id="rId153" Type="http://schemas.openxmlformats.org/officeDocument/2006/relationships/hyperlink" Target="http://www.cmc.gov.bd/" TargetMode="External"/><Relationship Id="rId174" Type="http://schemas.openxmlformats.org/officeDocument/2006/relationships/hyperlink" Target="http://www.ustc.ac.bd/" TargetMode="External"/><Relationship Id="rId195" Type="http://schemas.openxmlformats.org/officeDocument/2006/relationships/hyperlink" Target="http://rmc.gov.bd/" TargetMode="External"/><Relationship Id="rId209" Type="http://schemas.openxmlformats.org/officeDocument/2006/relationships/hyperlink" Target="mailto:mhcrc2021@gmail.com" TargetMode="External"/><Relationship Id="rId220" Type="http://schemas.openxmlformats.org/officeDocument/2006/relationships/hyperlink" Target="mailto:fairhealth.cc@gmail.com" TargetMode="External"/><Relationship Id="rId241" Type="http://schemas.openxmlformats.org/officeDocument/2006/relationships/hyperlink" Target="https://holycare.org/" TargetMode="External"/><Relationship Id="rId15" Type="http://schemas.openxmlformats.org/officeDocument/2006/relationships/hyperlink" Target="mailto:occdmc@yahoo.com" TargetMode="External"/><Relationship Id="rId36" Type="http://schemas.openxmlformats.org/officeDocument/2006/relationships/hyperlink" Target="mailto:colonelmalekmc@ac.dghs.gov.bd" TargetMode="External"/><Relationship Id="rId57" Type="http://schemas.openxmlformats.org/officeDocument/2006/relationships/hyperlink" Target="http://www.askbd.org/" TargetMode="External"/><Relationship Id="rId262" Type="http://schemas.openxmlformats.org/officeDocument/2006/relationships/hyperlink" Target="mailto:sbk_sylhet_mch@yahoo.com" TargetMode="External"/><Relationship Id="rId78" Type="http://schemas.openxmlformats.org/officeDocument/2006/relationships/hyperlink" Target="http://www.healthandhopebd.net/" TargetMode="External"/><Relationship Id="rId99" Type="http://schemas.openxmlformats.org/officeDocument/2006/relationships/hyperlink" Target="http://www.labaidgroup.com/" TargetMode="External"/><Relationship Id="rId101" Type="http://schemas.openxmlformats.org/officeDocument/2006/relationships/hyperlink" Target="http://www.labaidgroup.com/" TargetMode="External"/><Relationship Id="rId122" Type="http://schemas.openxmlformats.org/officeDocument/2006/relationships/hyperlink" Target="https://phwcbd.org/" TargetMode="External"/><Relationship Id="rId143" Type="http://schemas.openxmlformats.org/officeDocument/2006/relationships/hyperlink" Target="https://empathy.com.bd/" TargetMode="External"/><Relationship Id="rId164" Type="http://schemas.openxmlformats.org/officeDocument/2006/relationships/hyperlink" Target="mailto:rangamatimc@ac.dghs.gov.bd" TargetMode="External"/><Relationship Id="rId185" Type="http://schemas.openxmlformats.org/officeDocument/2006/relationships/hyperlink" Target="http://www.emccomilla.com/" TargetMode="External"/><Relationship Id="rId9" Type="http://schemas.openxmlformats.org/officeDocument/2006/relationships/hyperlink" Target="https://afmc.edu.bd/" TargetMode="External"/><Relationship Id="rId210" Type="http://schemas.openxmlformats.org/officeDocument/2006/relationships/hyperlink" Target="mailto:mhc@ru.ac.bd" TargetMode="External"/><Relationship Id="rId26" Type="http://schemas.openxmlformats.org/officeDocument/2006/relationships/hyperlink" Target="http://www.bsmmc.edu.bd/" TargetMode="External"/><Relationship Id="rId231" Type="http://schemas.openxmlformats.org/officeDocument/2006/relationships/hyperlink" Target="mailto:popularrajshahibranch@gmail.com" TargetMode="External"/><Relationship Id="rId252" Type="http://schemas.openxmlformats.org/officeDocument/2006/relationships/hyperlink" Target="mailto:dinajpurpsok@gmail.com" TargetMode="External"/><Relationship Id="rId47" Type="http://schemas.openxmlformats.org/officeDocument/2006/relationships/hyperlink" Target="https://du.ac.bd/body/DECP" TargetMode="External"/><Relationship Id="rId68" Type="http://schemas.openxmlformats.org/officeDocument/2006/relationships/hyperlink" Target="mailto:info@comfortbd.com" TargetMode="External"/><Relationship Id="rId89" Type="http://schemas.openxmlformats.org/officeDocument/2006/relationships/hyperlink" Target="mailto:info@ibsinatrust.com" TargetMode="External"/><Relationship Id="rId112" Type="http://schemas.openxmlformats.org/officeDocument/2006/relationships/hyperlink" Target="http://www.monobikash.com/" TargetMode="External"/><Relationship Id="rId133" Type="http://schemas.openxmlformats.org/officeDocument/2006/relationships/hyperlink" Target="https://www.astha.ambitioussoftwares.com/" TargetMode="External"/><Relationship Id="rId154" Type="http://schemas.openxmlformats.org/officeDocument/2006/relationships/hyperlink" Target="mailto:cmch@hospi.dghs.gov.bd" TargetMode="External"/><Relationship Id="rId175" Type="http://schemas.openxmlformats.org/officeDocument/2006/relationships/hyperlink" Target="mailto:ctg@gmail.com" TargetMode="External"/><Relationship Id="rId196" Type="http://schemas.openxmlformats.org/officeDocument/2006/relationships/hyperlink" Target="mailto:rmch@hosh.dghs.gov.bd" TargetMode="External"/><Relationship Id="rId200" Type="http://schemas.openxmlformats.org/officeDocument/2006/relationships/hyperlink" Target="mailto:smmamch@hospi.dghs.gov.bd" TargetMode="External"/><Relationship Id="rId16" Type="http://schemas.openxmlformats.org/officeDocument/2006/relationships/hyperlink" Target="http://www.dmc.gov.bd/" TargetMode="External"/><Relationship Id="rId221" Type="http://schemas.openxmlformats.org/officeDocument/2006/relationships/hyperlink" Target="mailto:fairhealth.dcc@gmail.com" TargetMode="External"/><Relationship Id="rId242" Type="http://schemas.openxmlformats.org/officeDocument/2006/relationships/hyperlink" Target="mailto:holycare@gmail.com" TargetMode="External"/><Relationship Id="rId263" Type="http://schemas.openxmlformats.org/officeDocument/2006/relationships/hyperlink" Target="http://www.msw.gov.bd/" TargetMode="External"/><Relationship Id="rId37" Type="http://schemas.openxmlformats.org/officeDocument/2006/relationships/hyperlink" Target="http://www.bsmmc.edu.bd/" TargetMode="External"/><Relationship Id="rId58" Type="http://schemas.openxmlformats.org/officeDocument/2006/relationships/hyperlink" Target="mailto:ask@citechco.net" TargetMode="External"/><Relationship Id="rId79" Type="http://schemas.openxmlformats.org/officeDocument/2006/relationships/hyperlink" Target="mailto:info@healthandhopebd.net" TargetMode="External"/><Relationship Id="rId102" Type="http://schemas.openxmlformats.org/officeDocument/2006/relationships/hyperlink" Target="mailto:info@labaidgroup.com" TargetMode="External"/><Relationship Id="rId123" Type="http://schemas.openxmlformats.org/officeDocument/2006/relationships/hyperlink" Target="mailto:reception@phwcbd.org" TargetMode="External"/><Relationship Id="rId144" Type="http://schemas.openxmlformats.org/officeDocument/2006/relationships/hyperlink" Target="mailto:info@empathy.com.bd" TargetMode="External"/><Relationship Id="rId90" Type="http://schemas.openxmlformats.org/officeDocument/2006/relationships/hyperlink" Target="https://www.ibsinatrust.com/" TargetMode="External"/><Relationship Id="rId165" Type="http://schemas.openxmlformats.org/officeDocument/2006/relationships/hyperlink" Target="http://www.rangamatimc.edu.bd/" TargetMode="External"/><Relationship Id="rId186" Type="http://schemas.openxmlformats.org/officeDocument/2006/relationships/hyperlink" Target="http://www.mmmch.edu.bd/" TargetMode="External"/><Relationship Id="rId211" Type="http://schemas.openxmlformats.org/officeDocument/2006/relationships/hyperlink" Target="http://kyamc.org/newsite/" TargetMode="External"/><Relationship Id="rId232" Type="http://schemas.openxmlformats.org/officeDocument/2006/relationships/hyperlink" Target="http://sbmc.portal.gov.bd/" TargetMode="External"/><Relationship Id="rId253" Type="http://schemas.openxmlformats.org/officeDocument/2006/relationships/hyperlink" Target="mailto:kurigramsodorpsok@gmail.com" TargetMode="External"/><Relationship Id="rId27" Type="http://schemas.openxmlformats.org/officeDocument/2006/relationships/hyperlink" Target="mailto:cdc_fmch@yahoo.com" TargetMode="External"/><Relationship Id="rId48" Type="http://schemas.openxmlformats.org/officeDocument/2006/relationships/hyperlink" Target="mailto:russellimran@office.du.ac.bd" TargetMode="External"/><Relationship Id="rId69" Type="http://schemas.openxmlformats.org/officeDocument/2006/relationships/hyperlink" Target="http://dam-health.org/" TargetMode="External"/><Relationship Id="rId113" Type="http://schemas.openxmlformats.org/officeDocument/2006/relationships/hyperlink" Target="mailto:monobikash.bd@gmail.com" TargetMode="External"/><Relationship Id="rId134" Type="http://schemas.openxmlformats.org/officeDocument/2006/relationships/hyperlink" Target="mailto:asthapsy@gmail.com" TargetMode="External"/><Relationship Id="rId80" Type="http://schemas.openxmlformats.org/officeDocument/2006/relationships/hyperlink" Target="https://healingheartbd.org/" TargetMode="External"/><Relationship Id="rId155" Type="http://schemas.openxmlformats.org/officeDocument/2006/relationships/hyperlink" Target="http://www.cmc.gov.bd/" TargetMode="External"/><Relationship Id="rId176" Type="http://schemas.openxmlformats.org/officeDocument/2006/relationships/hyperlink" Target="http://epicl.com/" TargetMode="External"/><Relationship Id="rId197" Type="http://schemas.openxmlformats.org/officeDocument/2006/relationships/hyperlink" Target="http://rmc.gov.bd/" TargetMode="External"/><Relationship Id="rId201" Type="http://schemas.openxmlformats.org/officeDocument/2006/relationships/hyperlink" Target="http://www.smmamc.gov.bd/" TargetMode="External"/><Relationship Id="rId222" Type="http://schemas.openxmlformats.org/officeDocument/2006/relationships/hyperlink" Target="mailto:bs.snc64@gmail.com" TargetMode="External"/><Relationship Id="rId243" Type="http://schemas.openxmlformats.org/officeDocument/2006/relationships/hyperlink" Target="mailto:newlifebsl@yahoo.com" TargetMode="External"/><Relationship Id="rId264" Type="http://schemas.openxmlformats.org/officeDocument/2006/relationships/hyperlink" Target="http://www.msw.gov.bd/" TargetMode="External"/><Relationship Id="rId17" Type="http://schemas.openxmlformats.org/officeDocument/2006/relationships/hyperlink" Target="http://www.ssmchd.net/" TargetMode="External"/><Relationship Id="rId38" Type="http://schemas.openxmlformats.org/officeDocument/2006/relationships/hyperlink" Target="mailto:occ_fmch@yahoo.com" TargetMode="External"/><Relationship Id="rId59" Type="http://schemas.openxmlformats.org/officeDocument/2006/relationships/hyperlink" Target="https://akmmch.com/" TargetMode="External"/><Relationship Id="rId103" Type="http://schemas.openxmlformats.org/officeDocument/2006/relationships/hyperlink" Target="http://www.labaidgroup.com/" TargetMode="External"/><Relationship Id="rId124" Type="http://schemas.openxmlformats.org/officeDocument/2006/relationships/hyperlink" Target="http://www.siblbd.com/" TargetMode="External"/><Relationship Id="rId70" Type="http://schemas.openxmlformats.org/officeDocument/2006/relationships/hyperlink" Target="mailto:info@amic.org.bd" TargetMode="External"/><Relationship Id="rId91" Type="http://schemas.openxmlformats.org/officeDocument/2006/relationships/hyperlink" Target="mailto:info@ibsinatrust.com" TargetMode="External"/><Relationship Id="rId145" Type="http://schemas.openxmlformats.org/officeDocument/2006/relationships/hyperlink" Target="http://www.beaconpointbd.com/" TargetMode="External"/><Relationship Id="rId166" Type="http://schemas.openxmlformats.org/officeDocument/2006/relationships/hyperlink" Target="mailto:nmc@ac.dghs.gov.bd" TargetMode="External"/><Relationship Id="rId187" Type="http://schemas.openxmlformats.org/officeDocument/2006/relationships/hyperlink" Target="mailto:mainamotimedicalcollege@yahoo.com" TargetMode="External"/><Relationship Id="rId1" Type="http://schemas.openxmlformats.org/officeDocument/2006/relationships/hyperlink" Target="mailto:nimh@hospi.dg" TargetMode="External"/><Relationship Id="rId212" Type="http://schemas.openxmlformats.org/officeDocument/2006/relationships/hyperlink" Target="http://www.pasil.com.bd/" TargetMode="External"/><Relationship Id="rId233" Type="http://schemas.openxmlformats.org/officeDocument/2006/relationships/hyperlink" Target="mailto:sbmc@ac.dghs.gov.bd" TargetMode="External"/><Relationship Id="rId254" Type="http://schemas.openxmlformats.org/officeDocument/2006/relationships/hyperlink" Target="http://ccr.army.mil.bd/" TargetMode="External"/><Relationship Id="rId28" Type="http://schemas.openxmlformats.org/officeDocument/2006/relationships/hyperlink" Target="http://www.icmh.org.bd/" TargetMode="External"/><Relationship Id="rId49" Type="http://schemas.openxmlformats.org/officeDocument/2006/relationships/hyperlink" Target="https://du.ac.bd/body/contact/CPS" TargetMode="External"/><Relationship Id="rId114" Type="http://schemas.openxmlformats.org/officeDocument/2006/relationships/hyperlink" Target="https://iwellbeing.org/" TargetMode="External"/><Relationship Id="rId60" Type="http://schemas.openxmlformats.org/officeDocument/2006/relationships/hyperlink" Target="mailto:info@akmmch.com" TargetMode="External"/><Relationship Id="rId81" Type="http://schemas.openxmlformats.org/officeDocument/2006/relationships/hyperlink" Target="mailto:healingheartbd@gmail.com" TargetMode="External"/><Relationship Id="rId135" Type="http://schemas.openxmlformats.org/officeDocument/2006/relationships/hyperlink" Target="https://aacholfoundation.org/" TargetMode="External"/><Relationship Id="rId156" Type="http://schemas.openxmlformats.org/officeDocument/2006/relationships/hyperlink" Target="mailto:cmch@hospi.dghs.gov.bd" TargetMode="External"/><Relationship Id="rId177" Type="http://schemas.openxmlformats.org/officeDocument/2006/relationships/hyperlink" Target="http://www.primehospitalltd.com/" TargetMode="External"/><Relationship Id="rId198" Type="http://schemas.openxmlformats.org/officeDocument/2006/relationships/hyperlink" Target="mailto:raj_sbk@yahoo.com" TargetMode="External"/><Relationship Id="rId202" Type="http://schemas.openxmlformats.org/officeDocument/2006/relationships/hyperlink" Target="mailto:sbk.sirajni@gmail.com" TargetMode="External"/><Relationship Id="rId223" Type="http://schemas.openxmlformats.org/officeDocument/2006/relationships/hyperlink" Target="mailto:bs.snc64@gmail.com" TargetMode="External"/><Relationship Id="rId244" Type="http://schemas.openxmlformats.org/officeDocument/2006/relationships/hyperlink" Target="mailto:rangmch@hospi.dghs.gov.bd" TargetMode="External"/><Relationship Id="rId18" Type="http://schemas.openxmlformats.org/officeDocument/2006/relationships/hyperlink" Target="mailto:ssmc@ac.dghs.gov.bd" TargetMode="External"/><Relationship Id="rId39" Type="http://schemas.openxmlformats.org/officeDocument/2006/relationships/hyperlink" Target="https://bsmmc.edu.bd/" TargetMode="External"/><Relationship Id="rId265" Type="http://schemas.openxmlformats.org/officeDocument/2006/relationships/hyperlink" Target="http://www.sust.edu/" TargetMode="External"/><Relationship Id="rId50" Type="http://schemas.openxmlformats.org/officeDocument/2006/relationships/hyperlink" Target="mailto:pacdpdu@gmail.com" TargetMode="External"/><Relationship Id="rId104" Type="http://schemas.openxmlformats.org/officeDocument/2006/relationships/hyperlink" Target="mailto:info@labaidgroup.com" TargetMode="External"/><Relationship Id="rId125" Type="http://schemas.openxmlformats.org/officeDocument/2006/relationships/hyperlink" Target="mailto:sibl.hospital@siblbd.com" TargetMode="External"/><Relationship Id="rId146" Type="http://schemas.openxmlformats.org/officeDocument/2006/relationships/hyperlink" Target="mailto:info@beaconpointbd.com" TargetMode="External"/><Relationship Id="rId167" Type="http://schemas.openxmlformats.org/officeDocument/2006/relationships/hyperlink" Target="mailto:nmc@ac.dghs.gov.bd" TargetMode="External"/><Relationship Id="rId188" Type="http://schemas.openxmlformats.org/officeDocument/2006/relationships/hyperlink" Target="http://www.technicalassistance.com/" TargetMode="External"/><Relationship Id="rId71" Type="http://schemas.openxmlformats.org/officeDocument/2006/relationships/hyperlink" Target="mailto:dorpon.psy@gmail.com" TargetMode="External"/><Relationship Id="rId92" Type="http://schemas.openxmlformats.org/officeDocument/2006/relationships/hyperlink" Target="https://sajidafoundation.org/" TargetMode="External"/><Relationship Id="rId213" Type="http://schemas.openxmlformats.org/officeDocument/2006/relationships/hyperlink" Target="https://doctorsbd.com/royal-hospital-chittagong/" TargetMode="External"/><Relationship Id="rId234" Type="http://schemas.openxmlformats.org/officeDocument/2006/relationships/hyperlink" Target="mailto:sbkbarisalmch@gmail.com" TargetMode="External"/><Relationship Id="rId2" Type="http://schemas.openxmlformats.org/officeDocument/2006/relationships/hyperlink" Target="https://bsmmu.edu.bd/" TargetMode="External"/><Relationship Id="rId29" Type="http://schemas.openxmlformats.org/officeDocument/2006/relationships/hyperlink" Target="mailto:info@icmh.org.bd" TargetMode="External"/><Relationship Id="rId255" Type="http://schemas.openxmlformats.org/officeDocument/2006/relationships/hyperlink" Target="mailto:ccr_rangpur@yahoo.com" TargetMode="External"/><Relationship Id="rId40" Type="http://schemas.openxmlformats.org/officeDocument/2006/relationships/hyperlink" Target="mailto:contact@bsmmc.edu.bd" TargetMode="External"/><Relationship Id="rId115" Type="http://schemas.openxmlformats.org/officeDocument/2006/relationships/hyperlink" Target="mailto:info@iwellbeing.org" TargetMode="External"/><Relationship Id="rId136" Type="http://schemas.openxmlformats.org/officeDocument/2006/relationships/hyperlink" Target="mailto:aacholfoundation@gmail.com" TargetMode="External"/><Relationship Id="rId157" Type="http://schemas.openxmlformats.org/officeDocument/2006/relationships/hyperlink" Target="mailto:cmtch@yahoo.com" TargetMode="External"/><Relationship Id="rId178" Type="http://schemas.openxmlformats.org/officeDocument/2006/relationships/hyperlink" Target="mailto:primehospital12@gmail.com" TargetMode="External"/><Relationship Id="rId61" Type="http://schemas.openxmlformats.org/officeDocument/2006/relationships/hyperlink" Target="mailto:athenaimitedbd@gmail.com" TargetMode="External"/><Relationship Id="rId82" Type="http://schemas.openxmlformats.org/officeDocument/2006/relationships/hyperlink" Target="http://www.mentalhealthbd.org/" TargetMode="External"/><Relationship Id="rId199" Type="http://schemas.openxmlformats.org/officeDocument/2006/relationships/hyperlink" Target="http://www.smmamc.gov.bd/" TargetMode="External"/><Relationship Id="rId203" Type="http://schemas.openxmlformats.org/officeDocument/2006/relationships/hyperlink" Target="http://www.szmc.gov.bd/" TargetMode="External"/><Relationship Id="rId19" Type="http://schemas.openxmlformats.org/officeDocument/2006/relationships/hyperlink" Target="http://mumc.gov.bd/" TargetMode="External"/><Relationship Id="rId224" Type="http://schemas.openxmlformats.org/officeDocument/2006/relationships/hyperlink" Target="https://www.populardiagnostic.com/" TargetMode="External"/><Relationship Id="rId245" Type="http://schemas.openxmlformats.org/officeDocument/2006/relationships/hyperlink" Target="http://www.mspvaw.bd.com/" TargetMode="External"/><Relationship Id="rId266" Type="http://schemas.openxmlformats.org/officeDocument/2006/relationships/hyperlink" Target="mailto:csg@sust.edu" TargetMode="External"/><Relationship Id="rId30" Type="http://schemas.openxmlformats.org/officeDocument/2006/relationships/hyperlink" Target="http://ipna.bsmmu.edu.bd/" TargetMode="External"/><Relationship Id="rId105" Type="http://schemas.openxmlformats.org/officeDocument/2006/relationships/hyperlink" Target="https://we.lifeandlighthousebd.com/" TargetMode="External"/><Relationship Id="rId126" Type="http://schemas.openxmlformats.org/officeDocument/2006/relationships/hyperlink" Target="http://www.squarehospital.com/" TargetMode="External"/><Relationship Id="rId147" Type="http://schemas.openxmlformats.org/officeDocument/2006/relationships/hyperlink" Target="mailto:innerforce.bd2000@gmail.com" TargetMode="External"/><Relationship Id="rId168" Type="http://schemas.openxmlformats.org/officeDocument/2006/relationships/hyperlink" Target="http://www.amccomilla.edu.bd/" TargetMode="External"/><Relationship Id="rId51" Type="http://schemas.openxmlformats.org/officeDocument/2006/relationships/hyperlink" Target="https://du.ac.bd/body/contact/CPS" TargetMode="External"/><Relationship Id="rId72" Type="http://schemas.openxmlformats.org/officeDocument/2006/relationships/hyperlink" Target="mailto:dorpon.psy@gmail.com" TargetMode="External"/><Relationship Id="rId93" Type="http://schemas.openxmlformats.org/officeDocument/2006/relationships/hyperlink" Target="mailto:innercircle@sajidafoundation.org" TargetMode="External"/><Relationship Id="rId189" Type="http://schemas.openxmlformats.org/officeDocument/2006/relationships/hyperlink" Target="mailto:sayeed@techai.com" TargetMode="External"/><Relationship Id="rId3" Type="http://schemas.openxmlformats.org/officeDocument/2006/relationships/hyperlink" Target="http://www.dmc.gov.bd/" TargetMode="External"/><Relationship Id="rId214" Type="http://schemas.openxmlformats.org/officeDocument/2006/relationships/hyperlink" Target="mailto:monaeral77@gmail.com" TargetMode="External"/><Relationship Id="rId235" Type="http://schemas.openxmlformats.org/officeDocument/2006/relationships/hyperlink" Target="https://www.pkmc.gov.bd/" TargetMode="External"/><Relationship Id="rId256" Type="http://schemas.openxmlformats.org/officeDocument/2006/relationships/hyperlink" Target="http://cpscr.edu.bd/" TargetMode="External"/><Relationship Id="rId116" Type="http://schemas.openxmlformats.org/officeDocument/2006/relationships/hyperlink" Target="http://www.newmukti.com/" TargetMode="External"/><Relationship Id="rId137" Type="http://schemas.openxmlformats.org/officeDocument/2006/relationships/hyperlink" Target="https://sajidafoundation.org/" TargetMode="External"/><Relationship Id="rId158" Type="http://schemas.openxmlformats.org/officeDocument/2006/relationships/hyperlink" Target="http://www.comh.gov.bd/" TargetMode="External"/><Relationship Id="rId20" Type="http://schemas.openxmlformats.org/officeDocument/2006/relationships/hyperlink" Target="http://www.dsh.org.bd/" TargetMode="External"/><Relationship Id="rId41" Type="http://schemas.openxmlformats.org/officeDocument/2006/relationships/hyperlink" Target="mailto:sskmc@ac.dghs.gov.bd" TargetMode="External"/><Relationship Id="rId62" Type="http://schemas.openxmlformats.org/officeDocument/2006/relationships/hyperlink" Target="https://bmc-bd.org/" TargetMode="External"/><Relationship Id="rId83" Type="http://schemas.openxmlformats.org/officeDocument/2006/relationships/hyperlink" Target="mailto:mental014@gmail.com" TargetMode="External"/><Relationship Id="rId179" Type="http://schemas.openxmlformats.org/officeDocument/2006/relationships/hyperlink" Target="mailto:zamansbari@gmail.com" TargetMode="External"/><Relationship Id="rId190" Type="http://schemas.openxmlformats.org/officeDocument/2006/relationships/hyperlink" Target="http://www.actionagainsthunger.org/" TargetMode="External"/><Relationship Id="rId204" Type="http://schemas.openxmlformats.org/officeDocument/2006/relationships/hyperlink" Target="http://www.szmc.gov.bd/" TargetMode="External"/><Relationship Id="rId225" Type="http://schemas.openxmlformats.org/officeDocument/2006/relationships/hyperlink" Target="http://www.labaid.com.bd/" TargetMode="External"/><Relationship Id="rId246" Type="http://schemas.openxmlformats.org/officeDocument/2006/relationships/hyperlink" Target="http://www.mspvaw.bd.com/" TargetMode="External"/><Relationship Id="rId267" Type="http://schemas.openxmlformats.org/officeDocument/2006/relationships/hyperlink" Target="mailto:jrrmc@btsnet.net" TargetMode="External"/><Relationship Id="rId106" Type="http://schemas.openxmlformats.org/officeDocument/2006/relationships/hyperlink" Target="mailto:fokruhossain2001@gmail.com" TargetMode="External"/><Relationship Id="rId127" Type="http://schemas.openxmlformats.org/officeDocument/2006/relationships/hyperlink" Target="mailto:info@squarehospital.com" TargetMode="External"/><Relationship Id="rId10" Type="http://schemas.openxmlformats.org/officeDocument/2006/relationships/hyperlink" Target="mailto:sdydept.afmc.bd@gmail.com" TargetMode="External"/><Relationship Id="rId31" Type="http://schemas.openxmlformats.org/officeDocument/2006/relationships/hyperlink" Target="http://www.ntcc-mowca.gov.bd/" TargetMode="External"/><Relationship Id="rId52" Type="http://schemas.openxmlformats.org/officeDocument/2006/relationships/hyperlink" Target="mailto:hossain_cp@du.ac.bd" TargetMode="External"/><Relationship Id="rId73" Type="http://schemas.openxmlformats.org/officeDocument/2006/relationships/hyperlink" Target="https://www.evercarebd.com/" TargetMode="External"/><Relationship Id="rId94" Type="http://schemas.openxmlformats.org/officeDocument/2006/relationships/hyperlink" Target="mailto:ipe@gmail.com" TargetMode="External"/><Relationship Id="rId148" Type="http://schemas.openxmlformats.org/officeDocument/2006/relationships/hyperlink" Target="mailto:freedomwithin247@gmail.com" TargetMode="External"/><Relationship Id="rId169" Type="http://schemas.openxmlformats.org/officeDocument/2006/relationships/hyperlink" Target="mailto:amccomilla2015@gmail.com" TargetMode="External"/><Relationship Id="rId4" Type="http://schemas.openxmlformats.org/officeDocument/2006/relationships/hyperlink" Target="mailto:dmc@hospi.dghs.gov.bd" TargetMode="External"/><Relationship Id="rId180" Type="http://schemas.openxmlformats.org/officeDocument/2006/relationships/hyperlink" Target="http://www.moonhospital.org/" TargetMode="External"/><Relationship Id="rId215" Type="http://schemas.openxmlformats.org/officeDocument/2006/relationships/hyperlink" Target="mailto:aponuvbon75@gmail.com" TargetMode="External"/><Relationship Id="rId236" Type="http://schemas.openxmlformats.org/officeDocument/2006/relationships/hyperlink" Target="mailto:patuakhalimc@ac.dghs.gov.bd" TargetMode="External"/><Relationship Id="rId257" Type="http://schemas.openxmlformats.org/officeDocument/2006/relationships/hyperlink" Target="http://pmc-bd.org/" TargetMode="External"/><Relationship Id="rId42" Type="http://schemas.openxmlformats.org/officeDocument/2006/relationships/hyperlink" Target="https://stamc.edu.bd/" TargetMode="External"/><Relationship Id="rId84" Type="http://schemas.openxmlformats.org/officeDocument/2006/relationships/hyperlink" Target="http://www.hfrcmc.edu.bd/" TargetMode="External"/><Relationship Id="rId138" Type="http://schemas.openxmlformats.org/officeDocument/2006/relationships/hyperlink" Target="mailto:mental.health@sajida.org" TargetMode="External"/><Relationship Id="rId191" Type="http://schemas.openxmlformats.org/officeDocument/2006/relationships/hyperlink" Target="http://www.msf.org/" TargetMode="External"/><Relationship Id="rId205" Type="http://schemas.openxmlformats.org/officeDocument/2006/relationships/hyperlink" Target="mailto:sbkbogras@gmail.com" TargetMode="External"/><Relationship Id="rId247" Type="http://schemas.openxmlformats.org/officeDocument/2006/relationships/hyperlink" Target="mailto:sbkdinajpur@gmail.com" TargetMode="External"/><Relationship Id="rId107" Type="http://schemas.openxmlformats.org/officeDocument/2006/relationships/hyperlink" Target="http://www.lifespringin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72"/>
  <sheetViews>
    <sheetView topLeftCell="H1" zoomScale="61" workbookViewId="0">
      <pane ySplit="1" topLeftCell="A2" activePane="bottomLeft" state="frozen"/>
      <selection pane="bottomLeft" activeCell="H1" sqref="A1:XFD1"/>
    </sheetView>
  </sheetViews>
  <sheetFormatPr defaultRowHeight="15.5" x14ac:dyDescent="0.35"/>
  <cols>
    <col min="1" max="1" width="102.90625" style="3" customWidth="1"/>
    <col min="2" max="2" width="26" style="3" bestFit="1" customWidth="1"/>
    <col min="3" max="3" width="92.453125" style="3" bestFit="1" customWidth="1"/>
    <col min="4" max="4" width="141.6328125" style="3" bestFit="1" customWidth="1"/>
    <col min="5" max="5" width="12.90625" style="3" bestFit="1" customWidth="1"/>
    <col min="6" max="6" width="61.1796875" style="3" bestFit="1" customWidth="1"/>
    <col min="7" max="7" width="72.36328125" style="3" bestFit="1" customWidth="1"/>
    <col min="8" max="8" width="71" style="3" bestFit="1" customWidth="1"/>
    <col min="9" max="9" width="29.1796875" style="3" bestFit="1" customWidth="1"/>
    <col min="10" max="10" width="88.26953125" style="3" bestFit="1" customWidth="1"/>
    <col min="11" max="11" width="58.6328125" style="3" customWidth="1"/>
    <col min="12" max="12" width="32.90625" style="3" bestFit="1" customWidth="1"/>
    <col min="13" max="13" width="22.6328125" style="3" bestFit="1" customWidth="1"/>
    <col min="14" max="14" width="13.08984375" style="3" bestFit="1" customWidth="1"/>
    <col min="15" max="15" width="12.6328125" style="3" bestFit="1" customWidth="1"/>
    <col min="16" max="16" width="17.90625" style="3" bestFit="1" customWidth="1"/>
    <col min="17" max="17" width="16.7265625" style="3" bestFit="1" customWidth="1"/>
    <col min="18" max="18" width="12.90625" style="3" bestFit="1" customWidth="1"/>
    <col min="19" max="19" width="10.36328125" style="3" bestFit="1" customWidth="1"/>
    <col min="20" max="20" width="12.90625" style="3" bestFit="1" customWidth="1"/>
    <col min="21" max="21" width="10.08984375" style="3" bestFit="1" customWidth="1"/>
    <col min="22" max="22" width="13.36328125" style="3" bestFit="1" customWidth="1"/>
    <col min="23" max="23" width="58.6328125" style="3" bestFit="1" customWidth="1"/>
    <col min="24" max="24" width="88.54296875" style="3" bestFit="1" customWidth="1"/>
    <col min="25" max="25" width="27.08984375" style="3" bestFit="1" customWidth="1"/>
    <col min="26" max="26" width="83.81640625" style="3" bestFit="1" customWidth="1"/>
    <col min="27" max="16384" width="8.7265625" style="3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/>
      <c r="W1" s="1"/>
      <c r="X1" s="2"/>
      <c r="Y1" s="2" t="s">
        <v>21</v>
      </c>
      <c r="Z1" s="2"/>
    </row>
    <row r="2" spans="1:26" s="4" customFormat="1" x14ac:dyDescent="0.35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I2" s="4" t="s">
        <v>29</v>
      </c>
      <c r="J2" s="4" t="s">
        <v>30</v>
      </c>
      <c r="K2" s="4" t="s">
        <v>31</v>
      </c>
      <c r="L2" s="4" t="s">
        <v>32</v>
      </c>
      <c r="M2" s="4" t="s">
        <v>33</v>
      </c>
      <c r="N2" s="4" t="s">
        <v>34</v>
      </c>
      <c r="O2" s="4" t="s">
        <v>35</v>
      </c>
      <c r="P2" s="4" t="s">
        <v>36</v>
      </c>
      <c r="Q2" s="4" t="s">
        <v>37</v>
      </c>
      <c r="R2" s="4" t="s">
        <v>26</v>
      </c>
      <c r="S2" s="4" t="s">
        <v>38</v>
      </c>
      <c r="T2" s="4" t="s">
        <v>26</v>
      </c>
      <c r="U2" s="4" t="s">
        <v>39</v>
      </c>
    </row>
    <row r="3" spans="1:26" s="4" customFormat="1" x14ac:dyDescent="0.35">
      <c r="A3" s="4" t="s">
        <v>40</v>
      </c>
      <c r="B3" s="4" t="s">
        <v>23</v>
      </c>
      <c r="C3" s="4" t="s">
        <v>24</v>
      </c>
      <c r="D3" s="4" t="s">
        <v>41</v>
      </c>
      <c r="E3" s="4" t="s">
        <v>26</v>
      </c>
      <c r="G3" s="4" t="s">
        <v>42</v>
      </c>
      <c r="H3" s="4" t="s">
        <v>43</v>
      </c>
      <c r="I3" s="4" t="s">
        <v>29</v>
      </c>
      <c r="J3" s="4" t="s">
        <v>30</v>
      </c>
      <c r="K3" s="4" t="s">
        <v>2228</v>
      </c>
      <c r="L3" s="4" t="s">
        <v>32</v>
      </c>
      <c r="M3" s="4" t="s">
        <v>33</v>
      </c>
      <c r="N3" s="4" t="s">
        <v>34</v>
      </c>
      <c r="O3" s="4" t="s">
        <v>35</v>
      </c>
      <c r="P3" s="4" t="s">
        <v>44</v>
      </c>
      <c r="Q3" s="4" t="s">
        <v>45</v>
      </c>
      <c r="R3" s="4" t="s">
        <v>26</v>
      </c>
      <c r="S3" s="4" t="s">
        <v>38</v>
      </c>
      <c r="T3" s="4" t="s">
        <v>26</v>
      </c>
      <c r="U3" s="4" t="s">
        <v>39</v>
      </c>
    </row>
    <row r="4" spans="1:26" s="4" customFormat="1" x14ac:dyDescent="0.35">
      <c r="A4" s="4" t="s">
        <v>46</v>
      </c>
      <c r="B4" s="4" t="s">
        <v>23</v>
      </c>
      <c r="C4" s="4" t="s">
        <v>24</v>
      </c>
      <c r="D4" s="4" t="s">
        <v>47</v>
      </c>
      <c r="E4" s="4" t="s">
        <v>26</v>
      </c>
      <c r="F4" s="4" t="s">
        <v>48</v>
      </c>
      <c r="H4" s="4" t="s">
        <v>49</v>
      </c>
      <c r="I4" s="4" t="s">
        <v>29</v>
      </c>
      <c r="J4" s="4" t="s">
        <v>30</v>
      </c>
      <c r="K4" s="4" t="s">
        <v>2228</v>
      </c>
      <c r="L4" s="4" t="s">
        <v>32</v>
      </c>
      <c r="M4" s="4" t="s">
        <v>33</v>
      </c>
      <c r="N4" s="4" t="s">
        <v>34</v>
      </c>
      <c r="O4" s="4" t="s">
        <v>35</v>
      </c>
      <c r="P4" s="4" t="s">
        <v>50</v>
      </c>
      <c r="Q4" s="4" t="s">
        <v>51</v>
      </c>
      <c r="R4" s="4" t="s">
        <v>26</v>
      </c>
      <c r="S4" s="4" t="s">
        <v>38</v>
      </c>
      <c r="T4" s="4" t="s">
        <v>26</v>
      </c>
      <c r="U4" s="4" t="s">
        <v>39</v>
      </c>
    </row>
    <row r="5" spans="1:26" s="4" customFormat="1" x14ac:dyDescent="0.35">
      <c r="A5" s="4" t="s">
        <v>52</v>
      </c>
      <c r="B5" s="4" t="s">
        <v>53</v>
      </c>
      <c r="C5" s="4" t="s">
        <v>54</v>
      </c>
      <c r="D5" s="4" t="s">
        <v>55</v>
      </c>
      <c r="E5" s="4" t="s">
        <v>26</v>
      </c>
      <c r="F5" s="4" t="s">
        <v>56</v>
      </c>
      <c r="G5" s="4" t="s">
        <v>57</v>
      </c>
      <c r="I5" s="4" t="s">
        <v>29</v>
      </c>
      <c r="J5" s="4" t="s">
        <v>30</v>
      </c>
      <c r="K5" s="4" t="s">
        <v>31</v>
      </c>
      <c r="L5" s="4" t="s">
        <v>58</v>
      </c>
      <c r="M5" s="4" t="s">
        <v>33</v>
      </c>
      <c r="N5" s="4" t="s">
        <v>34</v>
      </c>
      <c r="O5" s="4" t="s">
        <v>35</v>
      </c>
      <c r="P5" s="4" t="s">
        <v>59</v>
      </c>
      <c r="Q5" s="4" t="s">
        <v>60</v>
      </c>
      <c r="R5" s="4" t="s">
        <v>26</v>
      </c>
      <c r="S5" s="4" t="s">
        <v>38</v>
      </c>
      <c r="T5" s="4" t="s">
        <v>26</v>
      </c>
      <c r="U5" s="4" t="s">
        <v>39</v>
      </c>
    </row>
    <row r="6" spans="1:26" s="4" customFormat="1" x14ac:dyDescent="0.35">
      <c r="A6" s="4" t="s">
        <v>61</v>
      </c>
      <c r="B6" s="4" t="s">
        <v>62</v>
      </c>
      <c r="C6" s="4" t="s">
        <v>63</v>
      </c>
      <c r="D6" s="4" t="s">
        <v>55</v>
      </c>
      <c r="E6" s="4" t="s">
        <v>26</v>
      </c>
      <c r="F6" s="4" t="s">
        <v>56</v>
      </c>
      <c r="I6" s="4" t="s">
        <v>29</v>
      </c>
      <c r="J6" s="4" t="s">
        <v>64</v>
      </c>
      <c r="K6" s="4" t="s">
        <v>2228</v>
      </c>
      <c r="L6" s="4" t="s">
        <v>65</v>
      </c>
      <c r="M6" s="4" t="s">
        <v>33</v>
      </c>
      <c r="N6" s="4" t="s">
        <v>34</v>
      </c>
      <c r="O6" s="4" t="s">
        <v>35</v>
      </c>
      <c r="P6" s="4" t="s">
        <v>66</v>
      </c>
      <c r="Q6" s="4" t="s">
        <v>67</v>
      </c>
      <c r="R6" s="4" t="s">
        <v>26</v>
      </c>
      <c r="S6" s="4" t="s">
        <v>38</v>
      </c>
      <c r="T6" s="4" t="s">
        <v>26</v>
      </c>
      <c r="U6" s="4" t="s">
        <v>39</v>
      </c>
    </row>
    <row r="7" spans="1:26" s="4" customFormat="1" x14ac:dyDescent="0.35">
      <c r="A7" s="4" t="s">
        <v>68</v>
      </c>
      <c r="B7" s="4" t="s">
        <v>62</v>
      </c>
      <c r="C7" s="4" t="s">
        <v>63</v>
      </c>
      <c r="D7" s="4" t="s">
        <v>69</v>
      </c>
      <c r="E7" s="4" t="s">
        <v>26</v>
      </c>
      <c r="F7" s="4" t="s">
        <v>70</v>
      </c>
      <c r="G7" s="4" t="s">
        <v>71</v>
      </c>
      <c r="I7" s="4" t="s">
        <v>29</v>
      </c>
      <c r="J7" s="4" t="s">
        <v>30</v>
      </c>
      <c r="K7" s="4" t="s">
        <v>2228</v>
      </c>
      <c r="L7" s="4" t="s">
        <v>65</v>
      </c>
      <c r="M7" s="4" t="s">
        <v>33</v>
      </c>
      <c r="N7" s="4" t="s">
        <v>34</v>
      </c>
      <c r="O7" s="4" t="s">
        <v>35</v>
      </c>
      <c r="P7" s="4" t="s">
        <v>72</v>
      </c>
      <c r="Q7" s="4" t="s">
        <v>73</v>
      </c>
      <c r="R7" s="4" t="s">
        <v>26</v>
      </c>
      <c r="S7" s="4" t="s">
        <v>38</v>
      </c>
      <c r="T7" s="4" t="s">
        <v>26</v>
      </c>
      <c r="U7" s="4" t="s">
        <v>39</v>
      </c>
    </row>
    <row r="8" spans="1:26" s="4" customFormat="1" x14ac:dyDescent="0.35">
      <c r="A8" s="4" t="s">
        <v>75</v>
      </c>
      <c r="B8" s="4" t="s">
        <v>62</v>
      </c>
      <c r="C8" s="4" t="s">
        <v>63</v>
      </c>
      <c r="D8" s="4" t="s">
        <v>74</v>
      </c>
      <c r="E8" s="4" t="s">
        <v>26</v>
      </c>
      <c r="F8" s="4" t="s">
        <v>48</v>
      </c>
      <c r="H8" s="4" t="s">
        <v>49</v>
      </c>
      <c r="I8" s="4" t="s">
        <v>29</v>
      </c>
      <c r="J8" s="4" t="s">
        <v>30</v>
      </c>
      <c r="K8" s="4" t="s">
        <v>2228</v>
      </c>
      <c r="L8" s="4" t="s">
        <v>65</v>
      </c>
      <c r="M8" s="4" t="s">
        <v>33</v>
      </c>
      <c r="N8" s="4" t="s">
        <v>34</v>
      </c>
      <c r="O8" s="4" t="s">
        <v>35</v>
      </c>
      <c r="P8" s="4" t="s">
        <v>50</v>
      </c>
      <c r="Q8" s="4" t="s">
        <v>51</v>
      </c>
      <c r="R8" s="4" t="s">
        <v>26</v>
      </c>
      <c r="S8" s="4" t="s">
        <v>38</v>
      </c>
      <c r="T8" s="4" t="s">
        <v>26</v>
      </c>
      <c r="U8" s="4" t="s">
        <v>39</v>
      </c>
    </row>
    <row r="9" spans="1:26" s="4" customFormat="1" x14ac:dyDescent="0.35">
      <c r="A9" s="4" t="s">
        <v>82</v>
      </c>
      <c r="B9" s="4" t="s">
        <v>62</v>
      </c>
      <c r="C9" s="4" t="s">
        <v>63</v>
      </c>
      <c r="D9" s="4" t="s">
        <v>76</v>
      </c>
      <c r="E9" s="4" t="s">
        <v>26</v>
      </c>
      <c r="F9" s="4" t="s">
        <v>77</v>
      </c>
      <c r="G9" s="4" t="s">
        <v>78</v>
      </c>
      <c r="H9" s="4" t="s">
        <v>79</v>
      </c>
      <c r="I9" s="4" t="s">
        <v>29</v>
      </c>
      <c r="J9" s="4" t="s">
        <v>64</v>
      </c>
      <c r="K9" s="4" t="s">
        <v>2228</v>
      </c>
      <c r="L9" s="4" t="s">
        <v>65</v>
      </c>
      <c r="M9" s="4" t="s">
        <v>33</v>
      </c>
      <c r="N9" s="4" t="s">
        <v>34</v>
      </c>
      <c r="O9" s="4" t="s">
        <v>35</v>
      </c>
      <c r="P9" s="4" t="s">
        <v>80</v>
      </c>
      <c r="Q9" s="4" t="s">
        <v>81</v>
      </c>
      <c r="R9" s="4" t="s">
        <v>26</v>
      </c>
      <c r="S9" s="4" t="s">
        <v>38</v>
      </c>
      <c r="T9" s="4" t="s">
        <v>26</v>
      </c>
      <c r="U9" s="4" t="s">
        <v>39</v>
      </c>
    </row>
    <row r="10" spans="1:26" s="4" customFormat="1" x14ac:dyDescent="0.35">
      <c r="A10" s="4" t="s">
        <v>90</v>
      </c>
      <c r="B10" s="4" t="s">
        <v>62</v>
      </c>
      <c r="C10" s="4" t="s">
        <v>63</v>
      </c>
      <c r="D10" s="4" t="s">
        <v>83</v>
      </c>
      <c r="E10" s="4" t="s">
        <v>26</v>
      </c>
      <c r="G10" s="4" t="s">
        <v>84</v>
      </c>
      <c r="H10" s="4" t="s">
        <v>85</v>
      </c>
      <c r="I10" s="4" t="s">
        <v>29</v>
      </c>
      <c r="J10" s="4" t="s">
        <v>30</v>
      </c>
      <c r="K10" s="4" t="s">
        <v>2228</v>
      </c>
      <c r="L10" s="4" t="s">
        <v>65</v>
      </c>
      <c r="M10" s="4" t="s">
        <v>33</v>
      </c>
      <c r="N10" s="4" t="s">
        <v>34</v>
      </c>
      <c r="O10" s="4" t="s">
        <v>35</v>
      </c>
      <c r="P10" s="4" t="s">
        <v>86</v>
      </c>
      <c r="Q10" s="4" t="s">
        <v>87</v>
      </c>
      <c r="R10" s="4" t="s">
        <v>26</v>
      </c>
      <c r="S10" s="4" t="s">
        <v>38</v>
      </c>
      <c r="T10" s="4" t="s">
        <v>88</v>
      </c>
      <c r="U10" s="4" t="s">
        <v>89</v>
      </c>
    </row>
    <row r="11" spans="1:26" s="4" customFormat="1" x14ac:dyDescent="0.35">
      <c r="A11" s="4" t="s">
        <v>91</v>
      </c>
      <c r="B11" s="4" t="s">
        <v>62</v>
      </c>
      <c r="C11" s="4" t="s">
        <v>63</v>
      </c>
      <c r="D11" s="4" t="s">
        <v>92</v>
      </c>
      <c r="E11" s="4" t="s">
        <v>26</v>
      </c>
      <c r="F11" s="4" t="s">
        <v>93</v>
      </c>
      <c r="G11" s="4" t="s">
        <v>94</v>
      </c>
      <c r="H11" s="4" t="s">
        <v>95</v>
      </c>
      <c r="I11" s="4" t="s">
        <v>29</v>
      </c>
      <c r="J11" s="4" t="s">
        <v>30</v>
      </c>
      <c r="K11" s="4" t="s">
        <v>2228</v>
      </c>
      <c r="L11" s="4" t="s">
        <v>65</v>
      </c>
      <c r="M11" s="4" t="s">
        <v>33</v>
      </c>
      <c r="N11" s="4" t="s">
        <v>34</v>
      </c>
      <c r="O11" s="4" t="s">
        <v>35</v>
      </c>
      <c r="P11" s="4" t="s">
        <v>96</v>
      </c>
      <c r="Q11" s="4" t="s">
        <v>97</v>
      </c>
      <c r="R11" s="4" t="s">
        <v>26</v>
      </c>
      <c r="S11" s="4" t="s">
        <v>38</v>
      </c>
      <c r="T11" s="4" t="s">
        <v>98</v>
      </c>
      <c r="U11" s="4" t="s">
        <v>99</v>
      </c>
    </row>
    <row r="12" spans="1:26" s="4" customFormat="1" x14ac:dyDescent="0.35">
      <c r="A12" s="4" t="s">
        <v>100</v>
      </c>
      <c r="B12" s="4" t="s">
        <v>62</v>
      </c>
      <c r="C12" s="4" t="s">
        <v>63</v>
      </c>
      <c r="D12" s="4" t="s">
        <v>101</v>
      </c>
      <c r="E12" s="4" t="s">
        <v>26</v>
      </c>
      <c r="F12" s="4" t="s">
        <v>102</v>
      </c>
      <c r="G12" s="4" t="s">
        <v>103</v>
      </c>
      <c r="H12" s="4" t="s">
        <v>104</v>
      </c>
      <c r="I12" s="4" t="s">
        <v>29</v>
      </c>
      <c r="J12" s="4" t="s">
        <v>30</v>
      </c>
      <c r="K12" s="4" t="s">
        <v>2228</v>
      </c>
      <c r="L12" s="4" t="s">
        <v>65</v>
      </c>
      <c r="M12" s="4" t="s">
        <v>33</v>
      </c>
      <c r="N12" s="4" t="s">
        <v>34</v>
      </c>
      <c r="O12" s="4" t="s">
        <v>35</v>
      </c>
      <c r="P12" s="4" t="s">
        <v>105</v>
      </c>
      <c r="Q12" s="4" t="s">
        <v>106</v>
      </c>
      <c r="R12" s="4" t="s">
        <v>26</v>
      </c>
      <c r="S12" s="4" t="s">
        <v>38</v>
      </c>
      <c r="T12" s="4" t="s">
        <v>101</v>
      </c>
      <c r="U12" s="4" t="s">
        <v>107</v>
      </c>
    </row>
    <row r="13" spans="1:26" s="4" customFormat="1" x14ac:dyDescent="0.35">
      <c r="A13" s="4" t="s">
        <v>108</v>
      </c>
      <c r="B13" s="4" t="s">
        <v>62</v>
      </c>
      <c r="C13" s="4" t="s">
        <v>63</v>
      </c>
      <c r="D13" s="4" t="s">
        <v>109</v>
      </c>
      <c r="E13" s="4" t="s">
        <v>26</v>
      </c>
      <c r="F13" s="4" t="s">
        <v>110</v>
      </c>
      <c r="G13" s="4" t="s">
        <v>111</v>
      </c>
      <c r="H13" s="4" t="s">
        <v>112</v>
      </c>
      <c r="I13" s="4" t="s">
        <v>29</v>
      </c>
      <c r="J13" s="4" t="s">
        <v>30</v>
      </c>
      <c r="K13" s="4" t="s">
        <v>2228</v>
      </c>
      <c r="L13" s="4" t="s">
        <v>65</v>
      </c>
      <c r="M13" s="4" t="s">
        <v>33</v>
      </c>
      <c r="N13" s="4" t="s">
        <v>34</v>
      </c>
      <c r="O13" s="4" t="s">
        <v>35</v>
      </c>
      <c r="P13" s="4" t="s">
        <v>113</v>
      </c>
      <c r="Q13" s="4" t="s">
        <v>114</v>
      </c>
      <c r="R13" s="4" t="s">
        <v>26</v>
      </c>
      <c r="S13" s="4" t="s">
        <v>38</v>
      </c>
      <c r="T13" s="4" t="s">
        <v>115</v>
      </c>
      <c r="U13" s="4" t="s">
        <v>116</v>
      </c>
    </row>
    <row r="14" spans="1:26" s="4" customFormat="1" x14ac:dyDescent="0.35">
      <c r="A14" s="4" t="s">
        <v>125</v>
      </c>
      <c r="B14" s="4" t="s">
        <v>117</v>
      </c>
      <c r="C14" s="4" t="s">
        <v>118</v>
      </c>
      <c r="D14" s="4" t="s">
        <v>119</v>
      </c>
      <c r="E14" s="4" t="s">
        <v>26</v>
      </c>
      <c r="F14" s="4" t="s">
        <v>120</v>
      </c>
      <c r="G14" s="4" t="s">
        <v>121</v>
      </c>
      <c r="H14" s="4" t="s">
        <v>122</v>
      </c>
      <c r="I14" s="4" t="s">
        <v>29</v>
      </c>
      <c r="J14" s="4" t="s">
        <v>30</v>
      </c>
      <c r="L14" s="4" t="s">
        <v>32</v>
      </c>
      <c r="M14" s="4" t="s">
        <v>33</v>
      </c>
      <c r="N14" s="4" t="s">
        <v>34</v>
      </c>
      <c r="O14" s="4" t="s">
        <v>35</v>
      </c>
      <c r="P14" s="4" t="s">
        <v>123</v>
      </c>
      <c r="Q14" s="4" t="s">
        <v>124</v>
      </c>
      <c r="R14" s="4" t="s">
        <v>26</v>
      </c>
      <c r="S14" s="4" t="s">
        <v>38</v>
      </c>
      <c r="T14" s="4" t="s">
        <v>26</v>
      </c>
      <c r="U14" s="4" t="s">
        <v>39</v>
      </c>
    </row>
    <row r="15" spans="1:26" s="4" customFormat="1" x14ac:dyDescent="0.35">
      <c r="A15" s="4" t="s">
        <v>132</v>
      </c>
      <c r="B15" s="4" t="s">
        <v>126</v>
      </c>
      <c r="C15" s="4" t="s">
        <v>127</v>
      </c>
      <c r="D15" s="4" t="s">
        <v>128</v>
      </c>
      <c r="E15" s="4" t="s">
        <v>26</v>
      </c>
      <c r="H15" s="4" t="s">
        <v>129</v>
      </c>
      <c r="I15" s="4" t="s">
        <v>29</v>
      </c>
      <c r="J15" s="4" t="s">
        <v>64</v>
      </c>
      <c r="K15" s="4" t="s">
        <v>2229</v>
      </c>
      <c r="L15" s="4" t="s">
        <v>32</v>
      </c>
      <c r="M15" s="4" t="s">
        <v>33</v>
      </c>
      <c r="N15" s="4" t="s">
        <v>34</v>
      </c>
      <c r="O15" s="4" t="s">
        <v>35</v>
      </c>
      <c r="P15" s="4" t="s">
        <v>130</v>
      </c>
      <c r="Q15" s="4" t="s">
        <v>131</v>
      </c>
      <c r="R15" s="4" t="s">
        <v>26</v>
      </c>
      <c r="S15" s="4" t="s">
        <v>38</v>
      </c>
      <c r="T15" s="4" t="s">
        <v>26</v>
      </c>
      <c r="U15" s="4" t="s">
        <v>39</v>
      </c>
    </row>
    <row r="16" spans="1:26" s="4" customFormat="1" x14ac:dyDescent="0.35">
      <c r="A16" s="4" t="s">
        <v>133</v>
      </c>
      <c r="B16" s="4" t="s">
        <v>134</v>
      </c>
      <c r="C16" s="4" t="s">
        <v>54</v>
      </c>
      <c r="D16" s="4" t="s">
        <v>135</v>
      </c>
      <c r="E16" s="4" t="s">
        <v>26</v>
      </c>
      <c r="F16" s="4" t="s">
        <v>136</v>
      </c>
      <c r="G16" s="4" t="s">
        <v>137</v>
      </c>
      <c r="H16" s="4" t="s">
        <v>138</v>
      </c>
      <c r="I16" s="4" t="s">
        <v>139</v>
      </c>
      <c r="J16" s="4" t="s">
        <v>238</v>
      </c>
      <c r="K16" s="4" t="s">
        <v>31</v>
      </c>
      <c r="L16" s="4" t="s">
        <v>58</v>
      </c>
      <c r="M16" s="4" t="s">
        <v>141</v>
      </c>
      <c r="N16" s="4" t="s">
        <v>34</v>
      </c>
      <c r="O16" s="4" t="s">
        <v>35</v>
      </c>
      <c r="P16" s="4" t="s">
        <v>142</v>
      </c>
      <c r="Q16" s="4" t="s">
        <v>143</v>
      </c>
      <c r="R16" s="4" t="s">
        <v>26</v>
      </c>
      <c r="S16" s="4" t="s">
        <v>38</v>
      </c>
      <c r="T16" s="4" t="s">
        <v>26</v>
      </c>
      <c r="U16" s="4" t="s">
        <v>39</v>
      </c>
    </row>
    <row r="17" spans="1:21" s="4" customFormat="1" x14ac:dyDescent="0.35">
      <c r="A17" s="4" t="s">
        <v>149</v>
      </c>
      <c r="B17" s="4" t="s">
        <v>126</v>
      </c>
      <c r="C17" s="4" t="s">
        <v>24</v>
      </c>
      <c r="D17" s="4" t="s">
        <v>144</v>
      </c>
      <c r="E17" s="4" t="s">
        <v>26</v>
      </c>
      <c r="G17" s="4" t="s">
        <v>145</v>
      </c>
      <c r="H17" s="4" t="s">
        <v>146</v>
      </c>
      <c r="I17" s="4" t="s">
        <v>29</v>
      </c>
      <c r="L17" s="4" t="s">
        <v>32</v>
      </c>
      <c r="M17" s="4" t="s">
        <v>33</v>
      </c>
      <c r="N17" s="4" t="s">
        <v>34</v>
      </c>
      <c r="O17" s="4" t="s">
        <v>35</v>
      </c>
      <c r="P17" s="4" t="s">
        <v>147</v>
      </c>
      <c r="Q17" s="4" t="s">
        <v>148</v>
      </c>
      <c r="R17" s="4" t="s">
        <v>26</v>
      </c>
      <c r="S17" s="4" t="s">
        <v>38</v>
      </c>
      <c r="T17" s="4" t="s">
        <v>26</v>
      </c>
      <c r="U17" s="4" t="s">
        <v>39</v>
      </c>
    </row>
    <row r="18" spans="1:21" s="4" customFormat="1" x14ac:dyDescent="0.35">
      <c r="A18" s="4" t="s">
        <v>150</v>
      </c>
      <c r="B18" s="4" t="s">
        <v>151</v>
      </c>
      <c r="C18" s="4" t="s">
        <v>152</v>
      </c>
      <c r="D18" s="4" t="s">
        <v>153</v>
      </c>
      <c r="E18" s="4" t="s">
        <v>26</v>
      </c>
      <c r="F18" s="4" t="s">
        <v>154</v>
      </c>
      <c r="G18" s="4" t="s">
        <v>155</v>
      </c>
      <c r="H18" s="4" t="s">
        <v>156</v>
      </c>
      <c r="I18" s="4" t="s">
        <v>29</v>
      </c>
      <c r="J18" s="4" t="s">
        <v>157</v>
      </c>
      <c r="K18" s="4" t="s">
        <v>2228</v>
      </c>
      <c r="L18" s="4" t="s">
        <v>32</v>
      </c>
      <c r="M18" s="4" t="s">
        <v>33</v>
      </c>
      <c r="N18" s="4" t="s">
        <v>34</v>
      </c>
      <c r="O18" s="4" t="s">
        <v>35</v>
      </c>
      <c r="P18" s="4" t="s">
        <v>158</v>
      </c>
      <c r="Q18" s="4" t="s">
        <v>159</v>
      </c>
      <c r="R18" s="4" t="s">
        <v>26</v>
      </c>
      <c r="S18" s="4" t="s">
        <v>38</v>
      </c>
      <c r="T18" s="4" t="s">
        <v>26</v>
      </c>
      <c r="U18" s="4" t="s">
        <v>39</v>
      </c>
    </row>
    <row r="19" spans="1:21" s="4" customFormat="1" x14ac:dyDescent="0.35">
      <c r="A19" s="4" t="s">
        <v>160</v>
      </c>
      <c r="B19" s="4" t="s">
        <v>117</v>
      </c>
      <c r="C19" s="4" t="s">
        <v>152</v>
      </c>
      <c r="D19" s="4" t="s">
        <v>161</v>
      </c>
      <c r="E19" s="4" t="s">
        <v>26</v>
      </c>
      <c r="F19" s="4" t="s">
        <v>162</v>
      </c>
      <c r="H19" s="4" t="s">
        <v>163</v>
      </c>
      <c r="I19" s="4" t="s">
        <v>29</v>
      </c>
      <c r="K19" s="4" t="s">
        <v>2229</v>
      </c>
      <c r="L19" s="4" t="s">
        <v>32</v>
      </c>
      <c r="M19" s="4" t="s">
        <v>33</v>
      </c>
      <c r="N19" s="4" t="s">
        <v>34</v>
      </c>
      <c r="O19" s="4" t="s">
        <v>35</v>
      </c>
      <c r="P19" s="4" t="s">
        <v>164</v>
      </c>
      <c r="Q19" s="4" t="s">
        <v>165</v>
      </c>
      <c r="R19" s="4" t="s">
        <v>26</v>
      </c>
      <c r="S19" s="4" t="s">
        <v>38</v>
      </c>
      <c r="T19" s="4" t="s">
        <v>26</v>
      </c>
      <c r="U19" s="4" t="s">
        <v>39</v>
      </c>
    </row>
    <row r="20" spans="1:21" s="4" customFormat="1" x14ac:dyDescent="0.35">
      <c r="A20" s="4" t="s">
        <v>166</v>
      </c>
      <c r="B20" s="4" t="s">
        <v>23</v>
      </c>
      <c r="C20" s="4" t="s">
        <v>152</v>
      </c>
      <c r="D20" s="4" t="s">
        <v>55</v>
      </c>
      <c r="E20" s="4" t="s">
        <v>26</v>
      </c>
      <c r="F20" s="4" t="s">
        <v>56</v>
      </c>
      <c r="G20" s="4" t="s">
        <v>167</v>
      </c>
      <c r="H20" s="4" t="s">
        <v>168</v>
      </c>
      <c r="I20" s="4" t="s">
        <v>29</v>
      </c>
      <c r="J20" s="4" t="s">
        <v>64</v>
      </c>
      <c r="K20" s="4" t="s">
        <v>2228</v>
      </c>
      <c r="L20" s="4" t="s">
        <v>32</v>
      </c>
      <c r="M20" s="4" t="s">
        <v>33</v>
      </c>
      <c r="N20" s="4" t="s">
        <v>34</v>
      </c>
      <c r="O20" s="4" t="s">
        <v>35</v>
      </c>
      <c r="P20" s="4" t="s">
        <v>66</v>
      </c>
      <c r="Q20" s="4" t="s">
        <v>67</v>
      </c>
      <c r="R20" s="4" t="s">
        <v>26</v>
      </c>
      <c r="S20" s="4" t="s">
        <v>38</v>
      </c>
      <c r="T20" s="4" t="s">
        <v>26</v>
      </c>
      <c r="U20" s="4" t="s">
        <v>39</v>
      </c>
    </row>
    <row r="21" spans="1:21" s="4" customFormat="1" x14ac:dyDescent="0.35">
      <c r="A21" s="4" t="s">
        <v>169</v>
      </c>
      <c r="B21" s="4" t="s">
        <v>23</v>
      </c>
      <c r="C21" s="4" t="s">
        <v>152</v>
      </c>
      <c r="D21" s="4" t="s">
        <v>69</v>
      </c>
      <c r="E21" s="4" t="s">
        <v>26</v>
      </c>
      <c r="F21" s="4" t="s">
        <v>70</v>
      </c>
      <c r="G21" s="4" t="s">
        <v>71</v>
      </c>
      <c r="H21" s="4" t="s">
        <v>170</v>
      </c>
      <c r="I21" s="4" t="s">
        <v>29</v>
      </c>
      <c r="J21" s="4" t="s">
        <v>30</v>
      </c>
      <c r="K21" s="4" t="s">
        <v>2228</v>
      </c>
      <c r="L21" s="4" t="s">
        <v>32</v>
      </c>
      <c r="M21" s="4" t="s">
        <v>33</v>
      </c>
      <c r="N21" s="4" t="s">
        <v>34</v>
      </c>
      <c r="O21" s="4" t="s">
        <v>35</v>
      </c>
      <c r="P21" s="4" t="s">
        <v>72</v>
      </c>
      <c r="Q21" s="4" t="s">
        <v>73</v>
      </c>
      <c r="R21" s="4" t="s">
        <v>26</v>
      </c>
      <c r="S21" s="4" t="s">
        <v>38</v>
      </c>
      <c r="T21" s="4" t="s">
        <v>26</v>
      </c>
      <c r="U21" s="4" t="s">
        <v>39</v>
      </c>
    </row>
    <row r="22" spans="1:21" s="4" customFormat="1" x14ac:dyDescent="0.35">
      <c r="A22" s="4" t="s">
        <v>171</v>
      </c>
      <c r="B22" s="4" t="s">
        <v>23</v>
      </c>
      <c r="C22" s="4" t="s">
        <v>152</v>
      </c>
      <c r="D22" s="4" t="s">
        <v>172</v>
      </c>
      <c r="E22" s="4" t="s">
        <v>26</v>
      </c>
      <c r="F22" s="4" t="s">
        <v>173</v>
      </c>
      <c r="G22" s="4" t="s">
        <v>174</v>
      </c>
      <c r="H22" s="4" t="s">
        <v>175</v>
      </c>
      <c r="I22" s="4" t="s">
        <v>29</v>
      </c>
      <c r="L22" s="4" t="s">
        <v>32</v>
      </c>
      <c r="M22" s="4" t="s">
        <v>33</v>
      </c>
      <c r="N22" s="4" t="s">
        <v>34</v>
      </c>
      <c r="O22" s="4" t="s">
        <v>35</v>
      </c>
      <c r="P22" s="4" t="s">
        <v>176</v>
      </c>
      <c r="Q22" s="4" t="s">
        <v>177</v>
      </c>
      <c r="R22" s="4" t="s">
        <v>26</v>
      </c>
      <c r="S22" s="4" t="s">
        <v>38</v>
      </c>
      <c r="T22" s="4" t="s">
        <v>26</v>
      </c>
      <c r="U22" s="4" t="s">
        <v>39</v>
      </c>
    </row>
    <row r="23" spans="1:21" s="4" customFormat="1" x14ac:dyDescent="0.35">
      <c r="A23" s="4" t="s">
        <v>178</v>
      </c>
      <c r="B23" s="4" t="s">
        <v>23</v>
      </c>
      <c r="C23" s="4" t="s">
        <v>24</v>
      </c>
      <c r="D23" s="4" t="s">
        <v>179</v>
      </c>
      <c r="E23" s="4" t="s">
        <v>26</v>
      </c>
      <c r="F23" s="4" t="s">
        <v>180</v>
      </c>
      <c r="G23" s="4" t="s">
        <v>181</v>
      </c>
      <c r="H23" s="4" t="s">
        <v>182</v>
      </c>
      <c r="I23" s="4" t="s">
        <v>29</v>
      </c>
      <c r="K23" s="4" t="s">
        <v>2228</v>
      </c>
      <c r="L23" s="4" t="s">
        <v>32</v>
      </c>
      <c r="M23" s="4" t="s">
        <v>33</v>
      </c>
      <c r="N23" s="4" t="s">
        <v>34</v>
      </c>
      <c r="O23" s="4" t="s">
        <v>35</v>
      </c>
      <c r="P23" s="4" t="s">
        <v>183</v>
      </c>
      <c r="Q23" s="4" t="s">
        <v>184</v>
      </c>
      <c r="R23" s="4" t="s">
        <v>26</v>
      </c>
      <c r="S23" s="4" t="s">
        <v>38</v>
      </c>
      <c r="T23" s="4" t="s">
        <v>185</v>
      </c>
      <c r="U23" s="4" t="s">
        <v>186</v>
      </c>
    </row>
    <row r="24" spans="1:21" s="4" customFormat="1" x14ac:dyDescent="0.35">
      <c r="A24" s="4" t="s">
        <v>187</v>
      </c>
      <c r="B24" s="4" t="s">
        <v>53</v>
      </c>
      <c r="C24" s="4" t="s">
        <v>24</v>
      </c>
      <c r="D24" s="4" t="s">
        <v>109</v>
      </c>
      <c r="E24" s="4" t="s">
        <v>26</v>
      </c>
      <c r="F24" s="4" t="s">
        <v>110</v>
      </c>
      <c r="G24" s="4" t="s">
        <v>188</v>
      </c>
      <c r="H24" s="4" t="s">
        <v>112</v>
      </c>
      <c r="I24" s="4" t="s">
        <v>29</v>
      </c>
      <c r="J24" s="4" t="s">
        <v>30</v>
      </c>
      <c r="K24" s="4" t="s">
        <v>2228</v>
      </c>
      <c r="L24" s="4" t="s">
        <v>58</v>
      </c>
      <c r="M24" s="4" t="s">
        <v>33</v>
      </c>
      <c r="N24" s="4" t="s">
        <v>34</v>
      </c>
      <c r="O24" s="4" t="s">
        <v>35</v>
      </c>
      <c r="P24" s="4" t="s">
        <v>189</v>
      </c>
      <c r="Q24" s="4" t="s">
        <v>190</v>
      </c>
      <c r="R24" s="4" t="s">
        <v>26</v>
      </c>
      <c r="S24" s="4" t="s">
        <v>38</v>
      </c>
      <c r="T24" s="4" t="s">
        <v>115</v>
      </c>
      <c r="U24" s="4" t="s">
        <v>116</v>
      </c>
    </row>
    <row r="25" spans="1:21" s="4" customFormat="1" x14ac:dyDescent="0.35">
      <c r="A25" s="4" t="s">
        <v>191</v>
      </c>
      <c r="B25" s="4" t="s">
        <v>23</v>
      </c>
      <c r="C25" s="4" t="s">
        <v>24</v>
      </c>
      <c r="D25" s="4" t="s">
        <v>192</v>
      </c>
      <c r="E25" s="4" t="s">
        <v>26</v>
      </c>
      <c r="F25" s="4" t="s">
        <v>193</v>
      </c>
      <c r="G25" s="4" t="s">
        <v>194</v>
      </c>
      <c r="H25" s="4" t="s">
        <v>195</v>
      </c>
      <c r="I25" s="4" t="s">
        <v>29</v>
      </c>
      <c r="J25" s="4" t="s">
        <v>196</v>
      </c>
      <c r="K25" s="4" t="s">
        <v>2228</v>
      </c>
      <c r="L25" s="4" t="s">
        <v>32</v>
      </c>
      <c r="M25" s="4" t="s">
        <v>33</v>
      </c>
      <c r="N25" s="4" t="s">
        <v>34</v>
      </c>
      <c r="O25" s="4" t="s">
        <v>35</v>
      </c>
      <c r="P25" s="4" t="s">
        <v>113</v>
      </c>
      <c r="Q25" s="4" t="s">
        <v>114</v>
      </c>
      <c r="R25" s="4" t="s">
        <v>26</v>
      </c>
      <c r="S25" s="4" t="s">
        <v>38</v>
      </c>
      <c r="T25" s="4" t="s">
        <v>115</v>
      </c>
      <c r="U25" s="4" t="s">
        <v>116</v>
      </c>
    </row>
    <row r="26" spans="1:21" s="4" customFormat="1" x14ac:dyDescent="0.35">
      <c r="A26" s="4" t="s">
        <v>197</v>
      </c>
      <c r="B26" s="4" t="s">
        <v>23</v>
      </c>
      <c r="C26" s="4" t="s">
        <v>24</v>
      </c>
      <c r="D26" s="4" t="s">
        <v>83</v>
      </c>
      <c r="E26" s="4" t="s">
        <v>26</v>
      </c>
      <c r="G26" s="4" t="s">
        <v>84</v>
      </c>
      <c r="H26" s="4" t="s">
        <v>85</v>
      </c>
      <c r="I26" s="4" t="s">
        <v>29</v>
      </c>
      <c r="J26" s="4" t="s">
        <v>30</v>
      </c>
      <c r="K26" s="4" t="s">
        <v>2228</v>
      </c>
      <c r="L26" s="4" t="s">
        <v>32</v>
      </c>
      <c r="M26" s="4" t="s">
        <v>33</v>
      </c>
      <c r="N26" s="4" t="s">
        <v>34</v>
      </c>
      <c r="O26" s="4" t="s">
        <v>35</v>
      </c>
      <c r="P26" s="4" t="s">
        <v>198</v>
      </c>
      <c r="Q26" s="4" t="s">
        <v>199</v>
      </c>
      <c r="R26" s="4" t="s">
        <v>26</v>
      </c>
      <c r="S26" s="4" t="s">
        <v>38</v>
      </c>
      <c r="T26" s="4" t="s">
        <v>88</v>
      </c>
      <c r="U26" s="4" t="s">
        <v>89</v>
      </c>
    </row>
    <row r="27" spans="1:21" s="4" customFormat="1" x14ac:dyDescent="0.35">
      <c r="A27" s="4" t="s">
        <v>200</v>
      </c>
      <c r="B27" s="4" t="s">
        <v>23</v>
      </c>
      <c r="C27" s="4" t="s">
        <v>24</v>
      </c>
      <c r="D27" s="4" t="s">
        <v>92</v>
      </c>
      <c r="E27" s="4" t="s">
        <v>26</v>
      </c>
      <c r="F27" s="4" t="s">
        <v>93</v>
      </c>
      <c r="G27" s="4" t="s">
        <v>94</v>
      </c>
      <c r="H27" s="4" t="s">
        <v>95</v>
      </c>
      <c r="I27" s="4" t="s">
        <v>29</v>
      </c>
      <c r="J27" s="4" t="s">
        <v>30</v>
      </c>
      <c r="K27" s="4" t="s">
        <v>2228</v>
      </c>
      <c r="L27" s="4" t="s">
        <v>32</v>
      </c>
      <c r="M27" s="4" t="s">
        <v>33</v>
      </c>
      <c r="N27" s="4" t="s">
        <v>34</v>
      </c>
      <c r="O27" s="4" t="s">
        <v>35</v>
      </c>
      <c r="P27" s="4" t="s">
        <v>96</v>
      </c>
      <c r="Q27" s="4" t="s">
        <v>97</v>
      </c>
      <c r="R27" s="4" t="s">
        <v>26</v>
      </c>
      <c r="S27" s="4" t="s">
        <v>38</v>
      </c>
      <c r="T27" s="4" t="s">
        <v>98</v>
      </c>
      <c r="U27" s="4" t="s">
        <v>99</v>
      </c>
    </row>
    <row r="28" spans="1:21" s="4" customFormat="1" x14ac:dyDescent="0.35">
      <c r="A28" s="4" t="s">
        <v>201</v>
      </c>
      <c r="B28" s="4" t="s">
        <v>23</v>
      </c>
      <c r="C28" s="4" t="s">
        <v>24</v>
      </c>
      <c r="D28" s="4" t="s">
        <v>101</v>
      </c>
      <c r="E28" s="4" t="s">
        <v>26</v>
      </c>
      <c r="F28" s="4" t="s">
        <v>102</v>
      </c>
      <c r="G28" s="4" t="s">
        <v>103</v>
      </c>
      <c r="H28" s="4" t="s">
        <v>104</v>
      </c>
      <c r="I28" s="4" t="s">
        <v>29</v>
      </c>
      <c r="J28" s="4" t="s">
        <v>30</v>
      </c>
      <c r="K28" s="4" t="s">
        <v>2228</v>
      </c>
      <c r="L28" s="4" t="s">
        <v>32</v>
      </c>
      <c r="M28" s="4" t="s">
        <v>33</v>
      </c>
      <c r="N28" s="4" t="s">
        <v>34</v>
      </c>
      <c r="O28" s="4" t="s">
        <v>35</v>
      </c>
      <c r="P28" s="4" t="s">
        <v>105</v>
      </c>
      <c r="Q28" s="4" t="s">
        <v>106</v>
      </c>
      <c r="R28" s="4" t="s">
        <v>26</v>
      </c>
      <c r="S28" s="4" t="s">
        <v>38</v>
      </c>
      <c r="T28" s="4" t="s">
        <v>101</v>
      </c>
      <c r="U28" s="4" t="s">
        <v>107</v>
      </c>
    </row>
    <row r="29" spans="1:21" s="4" customFormat="1" x14ac:dyDescent="0.35">
      <c r="A29" s="4" t="s">
        <v>202</v>
      </c>
      <c r="B29" s="4" t="s">
        <v>117</v>
      </c>
      <c r="C29" s="4" t="s">
        <v>118</v>
      </c>
      <c r="D29" s="4" t="s">
        <v>203</v>
      </c>
      <c r="E29" s="4" t="s">
        <v>26</v>
      </c>
      <c r="F29" s="4" t="s">
        <v>204</v>
      </c>
      <c r="G29" s="4" t="s">
        <v>205</v>
      </c>
      <c r="H29" s="4" t="s">
        <v>206</v>
      </c>
      <c r="I29" s="4" t="s">
        <v>29</v>
      </c>
      <c r="J29" s="4" t="s">
        <v>207</v>
      </c>
      <c r="K29" s="4" t="s">
        <v>2230</v>
      </c>
      <c r="L29" s="4" t="s">
        <v>32</v>
      </c>
      <c r="M29" s="4" t="s">
        <v>33</v>
      </c>
      <c r="N29" s="4" t="s">
        <v>34</v>
      </c>
      <c r="O29" s="4" t="s">
        <v>35</v>
      </c>
      <c r="P29" s="4" t="s">
        <v>59</v>
      </c>
      <c r="Q29" s="4" t="s">
        <v>60</v>
      </c>
      <c r="R29" s="4" t="s">
        <v>26</v>
      </c>
      <c r="S29" s="4" t="s">
        <v>38</v>
      </c>
      <c r="T29" s="4" t="s">
        <v>26</v>
      </c>
      <c r="U29" s="4" t="s">
        <v>39</v>
      </c>
    </row>
    <row r="30" spans="1:21" s="4" customFormat="1" x14ac:dyDescent="0.35">
      <c r="A30" s="4" t="s">
        <v>208</v>
      </c>
      <c r="B30" s="4" t="s">
        <v>117</v>
      </c>
      <c r="C30" s="4" t="s">
        <v>209</v>
      </c>
      <c r="D30" s="4" t="s">
        <v>210</v>
      </c>
      <c r="E30" s="4" t="s">
        <v>26</v>
      </c>
      <c r="F30" s="4" t="s">
        <v>211</v>
      </c>
      <c r="G30" s="4" t="s">
        <v>212</v>
      </c>
      <c r="H30" s="4" t="s">
        <v>213</v>
      </c>
      <c r="I30" s="4" t="s">
        <v>139</v>
      </c>
      <c r="J30" s="4" t="s">
        <v>207</v>
      </c>
      <c r="K30" s="4" t="s">
        <v>2231</v>
      </c>
      <c r="L30" s="4" t="s">
        <v>32</v>
      </c>
      <c r="M30" s="4" t="s">
        <v>33</v>
      </c>
      <c r="N30" s="4" t="s">
        <v>34</v>
      </c>
      <c r="O30" s="4" t="s">
        <v>35</v>
      </c>
      <c r="P30" s="4" t="s">
        <v>214</v>
      </c>
      <c r="Q30" s="4" t="s">
        <v>215</v>
      </c>
      <c r="R30" s="4" t="s">
        <v>26</v>
      </c>
      <c r="S30" s="4" t="s">
        <v>38</v>
      </c>
      <c r="T30" s="4" t="s">
        <v>26</v>
      </c>
      <c r="U30" s="4" t="s">
        <v>39</v>
      </c>
    </row>
    <row r="31" spans="1:21" s="4" customFormat="1" x14ac:dyDescent="0.35">
      <c r="A31" s="4" t="s">
        <v>216</v>
      </c>
      <c r="B31" s="4" t="s">
        <v>117</v>
      </c>
      <c r="C31" s="4" t="s">
        <v>217</v>
      </c>
      <c r="D31" s="4" t="s">
        <v>218</v>
      </c>
      <c r="E31" s="4" t="s">
        <v>26</v>
      </c>
      <c r="F31" s="4" t="s">
        <v>219</v>
      </c>
      <c r="G31" s="4" t="s">
        <v>220</v>
      </c>
      <c r="H31" s="4" t="s">
        <v>220</v>
      </c>
      <c r="I31" s="4" t="s">
        <v>139</v>
      </c>
      <c r="J31" s="4" t="s">
        <v>207</v>
      </c>
      <c r="K31" s="4" t="s">
        <v>2232</v>
      </c>
      <c r="L31" s="4" t="s">
        <v>32</v>
      </c>
      <c r="M31" s="4" t="s">
        <v>33</v>
      </c>
      <c r="N31" s="4" t="s">
        <v>34</v>
      </c>
      <c r="O31" s="4" t="s">
        <v>35</v>
      </c>
      <c r="P31" s="4" t="s">
        <v>59</v>
      </c>
      <c r="Q31" s="4" t="s">
        <v>60</v>
      </c>
      <c r="R31" s="4" t="s">
        <v>26</v>
      </c>
      <c r="S31" s="4" t="s">
        <v>38</v>
      </c>
      <c r="T31" s="4" t="s">
        <v>26</v>
      </c>
      <c r="U31" s="4" t="s">
        <v>39</v>
      </c>
    </row>
    <row r="32" spans="1:21" s="4" customFormat="1" x14ac:dyDescent="0.35">
      <c r="A32" s="4" t="s">
        <v>221</v>
      </c>
      <c r="B32" s="4" t="s">
        <v>117</v>
      </c>
      <c r="C32" s="4" t="s">
        <v>217</v>
      </c>
      <c r="D32" s="4" t="s">
        <v>218</v>
      </c>
      <c r="E32" s="4" t="s">
        <v>26</v>
      </c>
      <c r="F32" s="4" t="s">
        <v>219</v>
      </c>
      <c r="G32" s="4" t="s">
        <v>222</v>
      </c>
      <c r="H32" s="4" t="s">
        <v>222</v>
      </c>
      <c r="I32" s="4" t="s">
        <v>139</v>
      </c>
      <c r="J32" s="4" t="s">
        <v>207</v>
      </c>
      <c r="L32" s="4" t="s">
        <v>32</v>
      </c>
      <c r="M32" s="4" t="s">
        <v>33</v>
      </c>
      <c r="N32" s="4" t="s">
        <v>34</v>
      </c>
      <c r="O32" s="4" t="s">
        <v>35</v>
      </c>
      <c r="P32" s="4" t="s">
        <v>59</v>
      </c>
      <c r="Q32" s="4" t="s">
        <v>60</v>
      </c>
      <c r="R32" s="4" t="s">
        <v>26</v>
      </c>
      <c r="S32" s="4" t="s">
        <v>38</v>
      </c>
      <c r="T32" s="4" t="s">
        <v>26</v>
      </c>
      <c r="U32" s="4" t="s">
        <v>39</v>
      </c>
    </row>
    <row r="33" spans="1:21" s="4" customFormat="1" x14ac:dyDescent="0.35">
      <c r="A33" s="4" t="s">
        <v>226</v>
      </c>
      <c r="B33" s="4" t="s">
        <v>117</v>
      </c>
      <c r="C33" s="4" t="s">
        <v>209</v>
      </c>
      <c r="D33" s="4" t="s">
        <v>223</v>
      </c>
      <c r="E33" s="4" t="s">
        <v>26</v>
      </c>
      <c r="F33" s="4" t="s">
        <v>224</v>
      </c>
      <c r="H33" s="4" t="s">
        <v>225</v>
      </c>
      <c r="I33" s="4" t="s">
        <v>139</v>
      </c>
      <c r="J33" s="4" t="s">
        <v>207</v>
      </c>
      <c r="K33" s="4" t="s">
        <v>31</v>
      </c>
      <c r="L33" s="4" t="s">
        <v>32</v>
      </c>
      <c r="M33" s="4" t="s">
        <v>33</v>
      </c>
      <c r="N33" s="4" t="s">
        <v>34</v>
      </c>
      <c r="O33" s="4" t="s">
        <v>35</v>
      </c>
      <c r="P33" s="4" t="s">
        <v>214</v>
      </c>
      <c r="Q33" s="4" t="s">
        <v>215</v>
      </c>
      <c r="R33" s="4" t="s">
        <v>26</v>
      </c>
      <c r="S33" s="4" t="s">
        <v>38</v>
      </c>
      <c r="T33" s="4" t="s">
        <v>26</v>
      </c>
      <c r="U33" s="4" t="s">
        <v>39</v>
      </c>
    </row>
    <row r="34" spans="1:21" s="4" customFormat="1" x14ac:dyDescent="0.35">
      <c r="A34" s="4" t="s">
        <v>233</v>
      </c>
      <c r="B34" s="4" t="s">
        <v>117</v>
      </c>
      <c r="C34" s="4" t="s">
        <v>209</v>
      </c>
      <c r="D34" s="4" t="s">
        <v>227</v>
      </c>
      <c r="E34" s="4" t="s">
        <v>26</v>
      </c>
      <c r="F34" s="4" t="s">
        <v>228</v>
      </c>
      <c r="H34" s="4" t="s">
        <v>229</v>
      </c>
      <c r="I34" s="4" t="s">
        <v>139</v>
      </c>
      <c r="J34" s="4" t="s">
        <v>230</v>
      </c>
      <c r="K34" s="4" t="s">
        <v>31</v>
      </c>
      <c r="L34" s="4" t="s">
        <v>32</v>
      </c>
      <c r="M34" s="4" t="s">
        <v>33</v>
      </c>
      <c r="N34" s="4" t="s">
        <v>34</v>
      </c>
      <c r="O34" s="4" t="s">
        <v>35</v>
      </c>
      <c r="P34" s="4" t="s">
        <v>231</v>
      </c>
      <c r="Q34" s="4" t="s">
        <v>232</v>
      </c>
      <c r="R34" s="4" t="s">
        <v>26</v>
      </c>
      <c r="S34" s="4" t="s">
        <v>38</v>
      </c>
      <c r="T34" s="4" t="s">
        <v>26</v>
      </c>
      <c r="U34" s="4" t="s">
        <v>39</v>
      </c>
    </row>
    <row r="35" spans="1:21" s="4" customFormat="1" x14ac:dyDescent="0.35">
      <c r="A35" s="4" t="s">
        <v>242</v>
      </c>
      <c r="B35" s="4" t="s">
        <v>117</v>
      </c>
      <c r="C35" s="4" t="s">
        <v>234</v>
      </c>
      <c r="D35" s="4" t="s">
        <v>235</v>
      </c>
      <c r="E35" s="4" t="s">
        <v>26</v>
      </c>
      <c r="G35" s="4" t="s">
        <v>236</v>
      </c>
      <c r="H35" s="4" t="s">
        <v>237</v>
      </c>
      <c r="I35" s="4" t="s">
        <v>238</v>
      </c>
      <c r="L35" s="4" t="s">
        <v>32</v>
      </c>
      <c r="M35" s="4" t="s">
        <v>141</v>
      </c>
      <c r="N35" s="4" t="s">
        <v>34</v>
      </c>
      <c r="O35" s="4" t="s">
        <v>239</v>
      </c>
      <c r="P35" s="4" t="s">
        <v>240</v>
      </c>
      <c r="Q35" s="4" t="s">
        <v>241</v>
      </c>
      <c r="R35" s="4" t="s">
        <v>26</v>
      </c>
      <c r="S35" s="4" t="s">
        <v>38</v>
      </c>
      <c r="T35" s="4" t="s">
        <v>26</v>
      </c>
      <c r="U35" s="4" t="s">
        <v>39</v>
      </c>
    </row>
    <row r="36" spans="1:21" s="4" customFormat="1" x14ac:dyDescent="0.35">
      <c r="A36" s="4" t="s">
        <v>250</v>
      </c>
      <c r="B36" s="4" t="s">
        <v>117</v>
      </c>
      <c r="C36" s="4" t="s">
        <v>118</v>
      </c>
      <c r="D36" s="4" t="s">
        <v>243</v>
      </c>
      <c r="E36" s="4" t="s">
        <v>26</v>
      </c>
      <c r="F36" s="4" t="s">
        <v>244</v>
      </c>
      <c r="G36" s="4" t="s">
        <v>245</v>
      </c>
      <c r="H36" s="4" t="s">
        <v>246</v>
      </c>
      <c r="I36" s="4" t="s">
        <v>238</v>
      </c>
      <c r="J36" s="4" t="s">
        <v>247</v>
      </c>
      <c r="L36" s="4" t="s">
        <v>32</v>
      </c>
      <c r="M36" s="4" t="s">
        <v>141</v>
      </c>
      <c r="N36" s="4" t="s">
        <v>34</v>
      </c>
      <c r="O36" s="4" t="s">
        <v>239</v>
      </c>
      <c r="P36" s="4" t="s">
        <v>248</v>
      </c>
      <c r="Q36" s="4" t="s">
        <v>249</v>
      </c>
      <c r="R36" s="4" t="s">
        <v>26</v>
      </c>
      <c r="S36" s="4" t="s">
        <v>38</v>
      </c>
      <c r="T36" s="4" t="s">
        <v>26</v>
      </c>
      <c r="U36" s="4" t="s">
        <v>39</v>
      </c>
    </row>
    <row r="37" spans="1:21" s="4" customFormat="1" x14ac:dyDescent="0.35">
      <c r="A37" s="4" t="s">
        <v>259</v>
      </c>
      <c r="B37" s="4" t="s">
        <v>23</v>
      </c>
      <c r="C37" s="4" t="s">
        <v>24</v>
      </c>
      <c r="D37" s="4" t="s">
        <v>251</v>
      </c>
      <c r="E37" s="4" t="s">
        <v>26</v>
      </c>
      <c r="F37" s="4" t="s">
        <v>252</v>
      </c>
      <c r="G37" s="4" t="s">
        <v>253</v>
      </c>
      <c r="H37" s="4" t="s">
        <v>254</v>
      </c>
      <c r="I37" s="4" t="s">
        <v>255</v>
      </c>
      <c r="J37" s="4" t="s">
        <v>238</v>
      </c>
      <c r="L37" s="4" t="s">
        <v>32</v>
      </c>
      <c r="M37" s="4" t="s">
        <v>141</v>
      </c>
      <c r="N37" s="4" t="s">
        <v>34</v>
      </c>
      <c r="O37" s="4" t="s">
        <v>239</v>
      </c>
      <c r="P37" s="4" t="s">
        <v>257</v>
      </c>
      <c r="Q37" s="4" t="s">
        <v>258</v>
      </c>
      <c r="R37" s="4" t="s">
        <v>26</v>
      </c>
      <c r="S37" s="4" t="s">
        <v>38</v>
      </c>
      <c r="T37" s="4" t="s">
        <v>26</v>
      </c>
      <c r="U37" s="4" t="s">
        <v>39</v>
      </c>
    </row>
    <row r="38" spans="1:21" s="4" customFormat="1" x14ac:dyDescent="0.35">
      <c r="A38" s="4" t="s">
        <v>267</v>
      </c>
      <c r="B38" s="4" t="s">
        <v>117</v>
      </c>
      <c r="C38" s="4" t="s">
        <v>260</v>
      </c>
      <c r="D38" s="4" t="s">
        <v>261</v>
      </c>
      <c r="E38" s="4" t="s">
        <v>26</v>
      </c>
      <c r="F38" s="4" t="s">
        <v>262</v>
      </c>
      <c r="G38" s="4" t="s">
        <v>263</v>
      </c>
      <c r="H38" s="4" t="s">
        <v>264</v>
      </c>
      <c r="I38" s="4" t="s">
        <v>238</v>
      </c>
      <c r="L38" s="4" t="s">
        <v>32</v>
      </c>
      <c r="M38" s="4" t="s">
        <v>141</v>
      </c>
      <c r="N38" s="4" t="s">
        <v>34</v>
      </c>
      <c r="O38" s="4" t="s">
        <v>239</v>
      </c>
      <c r="P38" s="4" t="s">
        <v>265</v>
      </c>
      <c r="Q38" s="4" t="s">
        <v>266</v>
      </c>
      <c r="R38" s="4" t="s">
        <v>26</v>
      </c>
      <c r="S38" s="4" t="s">
        <v>38</v>
      </c>
      <c r="T38" s="4" t="s">
        <v>26</v>
      </c>
      <c r="U38" s="4" t="s">
        <v>39</v>
      </c>
    </row>
    <row r="39" spans="1:21" s="4" customFormat="1" x14ac:dyDescent="0.35">
      <c r="A39" s="4" t="s">
        <v>268</v>
      </c>
      <c r="B39" s="4" t="s">
        <v>117</v>
      </c>
      <c r="C39" s="4" t="s">
        <v>209</v>
      </c>
      <c r="D39" s="4" t="s">
        <v>269</v>
      </c>
      <c r="E39" s="4" t="s">
        <v>26</v>
      </c>
      <c r="H39" s="4" t="s">
        <v>270</v>
      </c>
      <c r="I39" s="4" t="s">
        <v>238</v>
      </c>
      <c r="L39" s="4" t="s">
        <v>32</v>
      </c>
      <c r="M39" s="4" t="s">
        <v>141</v>
      </c>
      <c r="N39" s="4" t="s">
        <v>34</v>
      </c>
      <c r="O39" s="4" t="s">
        <v>239</v>
      </c>
      <c r="P39" s="4" t="s">
        <v>271</v>
      </c>
      <c r="Q39" s="4" t="s">
        <v>272</v>
      </c>
      <c r="R39" s="4" t="s">
        <v>26</v>
      </c>
      <c r="S39" s="4" t="s">
        <v>38</v>
      </c>
      <c r="T39" s="4" t="s">
        <v>26</v>
      </c>
      <c r="U39" s="4" t="s">
        <v>39</v>
      </c>
    </row>
    <row r="40" spans="1:21" s="4" customFormat="1" x14ac:dyDescent="0.35">
      <c r="A40" s="4" t="s">
        <v>273</v>
      </c>
      <c r="B40" s="4" t="s">
        <v>23</v>
      </c>
      <c r="C40" s="4" t="s">
        <v>24</v>
      </c>
      <c r="D40" s="4" t="s">
        <v>274</v>
      </c>
      <c r="E40" s="4" t="s">
        <v>26</v>
      </c>
      <c r="F40" s="4" t="s">
        <v>275</v>
      </c>
      <c r="G40" s="4" t="s">
        <v>276</v>
      </c>
      <c r="H40" s="4" t="s">
        <v>277</v>
      </c>
      <c r="I40" s="4" t="s">
        <v>255</v>
      </c>
      <c r="L40" s="4" t="s">
        <v>32</v>
      </c>
      <c r="M40" s="4" t="s">
        <v>33</v>
      </c>
      <c r="N40" s="4" t="s">
        <v>34</v>
      </c>
      <c r="O40" s="4" t="s">
        <v>239</v>
      </c>
      <c r="P40" s="4" t="s">
        <v>278</v>
      </c>
      <c r="Q40" s="4" t="s">
        <v>279</v>
      </c>
      <c r="R40" s="4" t="s">
        <v>26</v>
      </c>
      <c r="S40" s="4" t="s">
        <v>38</v>
      </c>
      <c r="T40" s="4" t="s">
        <v>26</v>
      </c>
      <c r="U40" s="4" t="s">
        <v>39</v>
      </c>
    </row>
    <row r="41" spans="1:21" s="4" customFormat="1" x14ac:dyDescent="0.35">
      <c r="A41" s="4" t="s">
        <v>280</v>
      </c>
      <c r="B41" s="4" t="s">
        <v>23</v>
      </c>
      <c r="C41" s="4" t="s">
        <v>24</v>
      </c>
      <c r="D41" s="4" t="s">
        <v>281</v>
      </c>
      <c r="E41" s="4" t="s">
        <v>26</v>
      </c>
      <c r="F41" s="4" t="s">
        <v>282</v>
      </c>
      <c r="H41" s="4" t="s">
        <v>283</v>
      </c>
      <c r="I41" s="4" t="s">
        <v>29</v>
      </c>
      <c r="J41" s="4" t="s">
        <v>284</v>
      </c>
      <c r="L41" s="4" t="s">
        <v>32</v>
      </c>
      <c r="M41" s="4" t="s">
        <v>33</v>
      </c>
      <c r="N41" s="4" t="s">
        <v>34</v>
      </c>
      <c r="O41" s="4" t="s">
        <v>239</v>
      </c>
      <c r="P41" s="4" t="s">
        <v>285</v>
      </c>
      <c r="Q41" s="4" t="s">
        <v>286</v>
      </c>
      <c r="R41" s="4" t="s">
        <v>26</v>
      </c>
      <c r="S41" s="4" t="s">
        <v>38</v>
      </c>
      <c r="T41" s="4" t="s">
        <v>26</v>
      </c>
      <c r="U41" s="4" t="s">
        <v>39</v>
      </c>
    </row>
    <row r="42" spans="1:21" s="4" customFormat="1" x14ac:dyDescent="0.35">
      <c r="A42" s="4" t="s">
        <v>293</v>
      </c>
      <c r="B42" s="4" t="s">
        <v>117</v>
      </c>
      <c r="C42" s="4" t="s">
        <v>152</v>
      </c>
      <c r="D42" s="4" t="s">
        <v>287</v>
      </c>
      <c r="E42" s="4" t="s">
        <v>26</v>
      </c>
      <c r="F42" s="4" t="s">
        <v>288</v>
      </c>
      <c r="G42" s="4" t="s">
        <v>289</v>
      </c>
      <c r="H42" s="4" t="s">
        <v>290</v>
      </c>
      <c r="I42" s="4" t="s">
        <v>255</v>
      </c>
      <c r="J42" s="4" t="s">
        <v>238</v>
      </c>
      <c r="L42" s="4" t="s">
        <v>32</v>
      </c>
      <c r="M42" s="4" t="s">
        <v>141</v>
      </c>
      <c r="N42" s="4" t="s">
        <v>34</v>
      </c>
      <c r="O42" s="4" t="s">
        <v>239</v>
      </c>
      <c r="P42" s="4" t="s">
        <v>291</v>
      </c>
      <c r="Q42" s="4" t="s">
        <v>292</v>
      </c>
      <c r="R42" s="4" t="s">
        <v>26</v>
      </c>
      <c r="S42" s="4" t="s">
        <v>38</v>
      </c>
      <c r="T42" s="4" t="s">
        <v>26</v>
      </c>
      <c r="U42" s="4" t="s">
        <v>39</v>
      </c>
    </row>
    <row r="43" spans="1:21" s="4" customFormat="1" x14ac:dyDescent="0.35">
      <c r="A43" s="4" t="s">
        <v>294</v>
      </c>
      <c r="B43" s="4" t="s">
        <v>117</v>
      </c>
      <c r="C43" s="4" t="s">
        <v>118</v>
      </c>
      <c r="D43" s="4" t="s">
        <v>295</v>
      </c>
      <c r="E43" s="4" t="s">
        <v>26</v>
      </c>
      <c r="F43" s="4" t="s">
        <v>296</v>
      </c>
      <c r="G43" s="4" t="s">
        <v>297</v>
      </c>
      <c r="H43" s="4" t="s">
        <v>298</v>
      </c>
      <c r="I43" s="4" t="s">
        <v>255</v>
      </c>
      <c r="J43" s="4" t="s">
        <v>238</v>
      </c>
      <c r="K43" s="4" t="s">
        <v>2233</v>
      </c>
      <c r="L43" s="4" t="s">
        <v>32</v>
      </c>
      <c r="M43" s="4" t="s">
        <v>141</v>
      </c>
      <c r="N43" s="4" t="s">
        <v>34</v>
      </c>
      <c r="O43" s="4" t="s">
        <v>239</v>
      </c>
      <c r="P43" s="4" t="s">
        <v>299</v>
      </c>
      <c r="Q43" s="4" t="s">
        <v>300</v>
      </c>
      <c r="R43" s="4" t="s">
        <v>26</v>
      </c>
      <c r="S43" s="4" t="s">
        <v>38</v>
      </c>
      <c r="T43" s="4" t="s">
        <v>26</v>
      </c>
      <c r="U43" s="4" t="s">
        <v>39</v>
      </c>
    </row>
    <row r="44" spans="1:21" s="4" customFormat="1" x14ac:dyDescent="0.35">
      <c r="A44" s="4" t="s">
        <v>301</v>
      </c>
      <c r="B44" s="4" t="s">
        <v>117</v>
      </c>
      <c r="C44" s="4" t="s">
        <v>260</v>
      </c>
      <c r="D44" s="4" t="s">
        <v>302</v>
      </c>
      <c r="E44" s="4" t="s">
        <v>26</v>
      </c>
      <c r="F44" s="4" t="s">
        <v>303</v>
      </c>
      <c r="G44" s="4" t="s">
        <v>304</v>
      </c>
      <c r="H44" s="4" t="s">
        <v>305</v>
      </c>
      <c r="I44" s="4" t="s">
        <v>238</v>
      </c>
      <c r="J44" s="4" t="s">
        <v>247</v>
      </c>
      <c r="L44" s="4" t="s">
        <v>32</v>
      </c>
      <c r="M44" s="4" t="s">
        <v>141</v>
      </c>
      <c r="N44" s="4" t="s">
        <v>34</v>
      </c>
      <c r="O44" s="4" t="s">
        <v>239</v>
      </c>
      <c r="P44" s="4" t="s">
        <v>306</v>
      </c>
      <c r="Q44" s="4" t="s">
        <v>307</v>
      </c>
      <c r="R44" s="4" t="s">
        <v>26</v>
      </c>
      <c r="S44" s="4" t="s">
        <v>38</v>
      </c>
      <c r="T44" s="4" t="s">
        <v>26</v>
      </c>
      <c r="U44" s="4" t="s">
        <v>39</v>
      </c>
    </row>
    <row r="45" spans="1:21" s="4" customFormat="1" x14ac:dyDescent="0.35">
      <c r="A45" s="4" t="s">
        <v>308</v>
      </c>
      <c r="B45" s="4" t="s">
        <v>117</v>
      </c>
      <c r="C45" s="4" t="s">
        <v>24</v>
      </c>
      <c r="D45" s="4" t="s">
        <v>309</v>
      </c>
      <c r="E45" s="4" t="s">
        <v>26</v>
      </c>
      <c r="F45" s="4" t="s">
        <v>310</v>
      </c>
      <c r="G45" s="4" t="s">
        <v>311</v>
      </c>
      <c r="H45" s="4" t="s">
        <v>312</v>
      </c>
      <c r="I45" s="4" t="s">
        <v>255</v>
      </c>
      <c r="J45" s="4" t="s">
        <v>238</v>
      </c>
      <c r="L45" s="4" t="s">
        <v>32</v>
      </c>
      <c r="M45" s="4" t="s">
        <v>141</v>
      </c>
      <c r="N45" s="4" t="s">
        <v>34</v>
      </c>
      <c r="O45" s="4" t="s">
        <v>239</v>
      </c>
      <c r="P45" s="4" t="s">
        <v>313</v>
      </c>
      <c r="Q45" s="4" t="s">
        <v>314</v>
      </c>
      <c r="R45" s="4" t="s">
        <v>26</v>
      </c>
      <c r="S45" s="4" t="s">
        <v>38</v>
      </c>
      <c r="T45" s="4" t="s">
        <v>26</v>
      </c>
      <c r="U45" s="4" t="s">
        <v>39</v>
      </c>
    </row>
    <row r="46" spans="1:21" s="4" customFormat="1" x14ac:dyDescent="0.35">
      <c r="A46" s="4" t="s">
        <v>321</v>
      </c>
      <c r="B46" s="4" t="s">
        <v>117</v>
      </c>
      <c r="C46" s="4" t="s">
        <v>260</v>
      </c>
      <c r="D46" s="4" t="s">
        <v>315</v>
      </c>
      <c r="E46" s="4" t="s">
        <v>26</v>
      </c>
      <c r="F46" s="4" t="s">
        <v>316</v>
      </c>
      <c r="G46" s="4" t="s">
        <v>317</v>
      </c>
      <c r="H46" s="4" t="s">
        <v>318</v>
      </c>
      <c r="I46" s="4" t="s">
        <v>238</v>
      </c>
      <c r="L46" s="4" t="s">
        <v>32</v>
      </c>
      <c r="M46" s="4" t="s">
        <v>141</v>
      </c>
      <c r="N46" s="4" t="s">
        <v>34</v>
      </c>
      <c r="O46" s="4" t="s">
        <v>239</v>
      </c>
      <c r="P46" s="4" t="s">
        <v>319</v>
      </c>
      <c r="Q46" s="4" t="s">
        <v>320</v>
      </c>
      <c r="R46" s="4" t="s">
        <v>26</v>
      </c>
      <c r="S46" s="4" t="s">
        <v>38</v>
      </c>
      <c r="T46" s="4" t="s">
        <v>26</v>
      </c>
      <c r="U46" s="4" t="s">
        <v>39</v>
      </c>
    </row>
    <row r="47" spans="1:21" s="4" customFormat="1" x14ac:dyDescent="0.35">
      <c r="A47" s="4" t="s">
        <v>322</v>
      </c>
      <c r="B47" s="4" t="s">
        <v>117</v>
      </c>
      <c r="C47" s="4" t="s">
        <v>118</v>
      </c>
      <c r="D47" s="4" t="s">
        <v>323</v>
      </c>
      <c r="E47" s="4" t="s">
        <v>26</v>
      </c>
      <c r="G47" s="4" t="s">
        <v>324</v>
      </c>
      <c r="H47" s="4" t="s">
        <v>325</v>
      </c>
      <c r="I47" s="4" t="s">
        <v>255</v>
      </c>
      <c r="L47" s="4" t="s">
        <v>32</v>
      </c>
      <c r="M47" s="4" t="s">
        <v>141</v>
      </c>
      <c r="N47" s="4" t="s">
        <v>34</v>
      </c>
      <c r="O47" s="4" t="s">
        <v>239</v>
      </c>
      <c r="P47" s="4" t="s">
        <v>326</v>
      </c>
      <c r="Q47" s="4" t="s">
        <v>327</v>
      </c>
      <c r="R47" s="4" t="s">
        <v>26</v>
      </c>
      <c r="S47" s="4" t="s">
        <v>38</v>
      </c>
      <c r="T47" s="4" t="s">
        <v>26</v>
      </c>
      <c r="U47" s="4" t="s">
        <v>39</v>
      </c>
    </row>
    <row r="48" spans="1:21" s="4" customFormat="1" x14ac:dyDescent="0.35">
      <c r="A48" s="4" t="s">
        <v>328</v>
      </c>
      <c r="B48" s="4" t="s">
        <v>23</v>
      </c>
      <c r="C48" s="4" t="s">
        <v>152</v>
      </c>
      <c r="D48" s="4" t="s">
        <v>329</v>
      </c>
      <c r="E48" s="4" t="s">
        <v>26</v>
      </c>
      <c r="H48" s="4" t="s">
        <v>330</v>
      </c>
      <c r="I48" s="4" t="s">
        <v>255</v>
      </c>
      <c r="J48" s="4" t="s">
        <v>238</v>
      </c>
      <c r="L48" s="4" t="s">
        <v>32</v>
      </c>
      <c r="M48" s="4" t="s">
        <v>141</v>
      </c>
      <c r="N48" s="4" t="s">
        <v>34</v>
      </c>
      <c r="O48" s="4" t="s">
        <v>239</v>
      </c>
      <c r="P48" s="4" t="s">
        <v>331</v>
      </c>
      <c r="Q48" s="4" t="s">
        <v>332</v>
      </c>
      <c r="R48" s="4" t="s">
        <v>26</v>
      </c>
      <c r="S48" s="4" t="s">
        <v>38</v>
      </c>
      <c r="T48" s="4" t="s">
        <v>26</v>
      </c>
      <c r="U48" s="4" t="s">
        <v>39</v>
      </c>
    </row>
    <row r="49" spans="1:21" s="4" customFormat="1" x14ac:dyDescent="0.35">
      <c r="A49" s="4" t="s">
        <v>339</v>
      </c>
      <c r="B49" s="4" t="s">
        <v>23</v>
      </c>
      <c r="C49" s="4" t="s">
        <v>24</v>
      </c>
      <c r="D49" s="4" t="s">
        <v>333</v>
      </c>
      <c r="E49" s="4" t="s">
        <v>26</v>
      </c>
      <c r="F49" s="4" t="s">
        <v>334</v>
      </c>
      <c r="G49" s="4" t="s">
        <v>335</v>
      </c>
      <c r="H49" s="4" t="s">
        <v>336</v>
      </c>
      <c r="I49" s="4" t="s">
        <v>29</v>
      </c>
      <c r="J49" s="4" t="s">
        <v>64</v>
      </c>
      <c r="L49" s="4" t="s">
        <v>32</v>
      </c>
      <c r="M49" s="4" t="s">
        <v>33</v>
      </c>
      <c r="N49" s="4" t="s">
        <v>34</v>
      </c>
      <c r="O49" s="4" t="s">
        <v>239</v>
      </c>
      <c r="P49" s="4" t="s">
        <v>337</v>
      </c>
      <c r="Q49" s="4" t="s">
        <v>338</v>
      </c>
      <c r="R49" s="4" t="s">
        <v>26</v>
      </c>
      <c r="S49" s="4" t="s">
        <v>38</v>
      </c>
      <c r="T49" s="4" t="s">
        <v>26</v>
      </c>
      <c r="U49" s="4" t="s">
        <v>39</v>
      </c>
    </row>
    <row r="50" spans="1:21" s="4" customFormat="1" x14ac:dyDescent="0.35">
      <c r="A50" s="4" t="s">
        <v>347</v>
      </c>
      <c r="B50" s="4" t="s">
        <v>23</v>
      </c>
      <c r="C50" s="4" t="s">
        <v>24</v>
      </c>
      <c r="D50" s="4" t="s">
        <v>340</v>
      </c>
      <c r="E50" s="4" t="s">
        <v>26</v>
      </c>
      <c r="F50" s="4" t="s">
        <v>341</v>
      </c>
      <c r="G50" s="4" t="s">
        <v>342</v>
      </c>
      <c r="H50" s="4" t="s">
        <v>343</v>
      </c>
      <c r="I50" s="4" t="s">
        <v>255</v>
      </c>
      <c r="J50" s="4" t="s">
        <v>344</v>
      </c>
      <c r="L50" s="4" t="s">
        <v>32</v>
      </c>
      <c r="M50" s="4" t="s">
        <v>141</v>
      </c>
      <c r="N50" s="4" t="s">
        <v>34</v>
      </c>
      <c r="O50" s="4" t="s">
        <v>239</v>
      </c>
      <c r="P50" s="4" t="s">
        <v>345</v>
      </c>
      <c r="Q50" s="4" t="s">
        <v>346</v>
      </c>
      <c r="R50" s="4" t="s">
        <v>26</v>
      </c>
      <c r="S50" s="4" t="s">
        <v>38</v>
      </c>
      <c r="T50" s="4" t="s">
        <v>26</v>
      </c>
      <c r="U50" s="4" t="s">
        <v>39</v>
      </c>
    </row>
    <row r="51" spans="1:21" s="4" customFormat="1" x14ac:dyDescent="0.35">
      <c r="A51" s="4" t="s">
        <v>354</v>
      </c>
      <c r="B51" s="4" t="s">
        <v>23</v>
      </c>
      <c r="C51" s="4" t="s">
        <v>24</v>
      </c>
      <c r="D51" s="4" t="s">
        <v>348</v>
      </c>
      <c r="E51" s="4" t="s">
        <v>26</v>
      </c>
      <c r="F51" s="4" t="s">
        <v>349</v>
      </c>
      <c r="G51" s="4" t="s">
        <v>350</v>
      </c>
      <c r="H51" s="4" t="s">
        <v>351</v>
      </c>
      <c r="I51" s="4" t="s">
        <v>255</v>
      </c>
      <c r="J51" s="4" t="s">
        <v>238</v>
      </c>
      <c r="L51" s="4" t="s">
        <v>32</v>
      </c>
      <c r="M51" s="4" t="s">
        <v>141</v>
      </c>
      <c r="N51" s="4" t="s">
        <v>34</v>
      </c>
      <c r="O51" s="4" t="s">
        <v>239</v>
      </c>
      <c r="P51" s="4" t="s">
        <v>352</v>
      </c>
      <c r="Q51" s="4" t="s">
        <v>353</v>
      </c>
      <c r="R51" s="4" t="s">
        <v>26</v>
      </c>
      <c r="S51" s="4" t="s">
        <v>38</v>
      </c>
      <c r="T51" s="4" t="s">
        <v>26</v>
      </c>
      <c r="U51" s="4" t="s">
        <v>39</v>
      </c>
    </row>
    <row r="52" spans="1:21" s="4" customFormat="1" x14ac:dyDescent="0.35">
      <c r="A52" s="4" t="s">
        <v>355</v>
      </c>
      <c r="B52" s="4" t="s">
        <v>117</v>
      </c>
      <c r="C52" s="4" t="s">
        <v>152</v>
      </c>
      <c r="D52" s="4" t="s">
        <v>356</v>
      </c>
      <c r="E52" s="4" t="s">
        <v>26</v>
      </c>
      <c r="F52" s="4" t="s">
        <v>357</v>
      </c>
      <c r="G52" s="4" t="s">
        <v>358</v>
      </c>
      <c r="H52" s="4" t="s">
        <v>359</v>
      </c>
      <c r="I52" s="4" t="s">
        <v>360</v>
      </c>
      <c r="J52" s="4" t="s">
        <v>361</v>
      </c>
      <c r="L52" s="4" t="s">
        <v>32</v>
      </c>
      <c r="M52" s="4" t="s">
        <v>33</v>
      </c>
      <c r="N52" s="4" t="s">
        <v>34</v>
      </c>
      <c r="O52" s="4" t="s">
        <v>239</v>
      </c>
      <c r="P52" s="4" t="s">
        <v>362</v>
      </c>
      <c r="Q52" s="4" t="s">
        <v>363</v>
      </c>
      <c r="R52" s="4" t="s">
        <v>26</v>
      </c>
      <c r="S52" s="4" t="s">
        <v>38</v>
      </c>
      <c r="T52" s="4" t="s">
        <v>26</v>
      </c>
      <c r="U52" s="4" t="s">
        <v>39</v>
      </c>
    </row>
    <row r="53" spans="1:21" s="4" customFormat="1" x14ac:dyDescent="0.35">
      <c r="A53" s="4" t="s">
        <v>364</v>
      </c>
      <c r="B53" s="4" t="s">
        <v>23</v>
      </c>
      <c r="C53" s="4" t="s">
        <v>152</v>
      </c>
      <c r="D53" s="4" t="s">
        <v>365</v>
      </c>
      <c r="E53" s="4" t="s">
        <v>26</v>
      </c>
      <c r="F53" s="4" t="s">
        <v>366</v>
      </c>
      <c r="G53" s="4" t="s">
        <v>367</v>
      </c>
      <c r="H53" s="4" t="s">
        <v>368</v>
      </c>
      <c r="I53" s="4" t="s">
        <v>255</v>
      </c>
      <c r="J53" s="4" t="s">
        <v>238</v>
      </c>
      <c r="L53" s="4" t="s">
        <v>32</v>
      </c>
      <c r="M53" s="4" t="s">
        <v>141</v>
      </c>
      <c r="N53" s="4" t="s">
        <v>34</v>
      </c>
      <c r="O53" s="4" t="s">
        <v>239</v>
      </c>
      <c r="P53" s="4" t="s">
        <v>369</v>
      </c>
      <c r="Q53" s="4" t="s">
        <v>370</v>
      </c>
      <c r="R53" s="4" t="s">
        <v>26</v>
      </c>
      <c r="S53" s="4" t="s">
        <v>38</v>
      </c>
      <c r="T53" s="4" t="s">
        <v>26</v>
      </c>
      <c r="U53" s="4" t="s">
        <v>39</v>
      </c>
    </row>
    <row r="54" spans="1:21" s="4" customFormat="1" x14ac:dyDescent="0.35">
      <c r="A54" s="4" t="s">
        <v>371</v>
      </c>
      <c r="B54" s="4" t="s">
        <v>23</v>
      </c>
      <c r="C54" s="4" t="s">
        <v>24</v>
      </c>
      <c r="D54" s="4" t="s">
        <v>372</v>
      </c>
      <c r="E54" s="4" t="s">
        <v>26</v>
      </c>
      <c r="F54" s="4" t="s">
        <v>373</v>
      </c>
      <c r="G54" s="4" t="s">
        <v>374</v>
      </c>
      <c r="H54" s="4" t="s">
        <v>375</v>
      </c>
      <c r="I54" s="4" t="s">
        <v>360</v>
      </c>
      <c r="J54" s="4" t="s">
        <v>238</v>
      </c>
      <c r="L54" s="4" t="s">
        <v>32</v>
      </c>
      <c r="M54" s="4" t="s">
        <v>141</v>
      </c>
      <c r="N54" s="4" t="s">
        <v>34</v>
      </c>
      <c r="O54" s="4" t="s">
        <v>239</v>
      </c>
      <c r="P54" s="4" t="s">
        <v>376</v>
      </c>
      <c r="Q54" s="4" t="s">
        <v>377</v>
      </c>
      <c r="R54" s="4" t="s">
        <v>26</v>
      </c>
      <c r="S54" s="4" t="s">
        <v>38</v>
      </c>
      <c r="T54" s="4" t="s">
        <v>26</v>
      </c>
      <c r="U54" s="4" t="s">
        <v>39</v>
      </c>
    </row>
    <row r="55" spans="1:21" s="4" customFormat="1" x14ac:dyDescent="0.35">
      <c r="A55" s="4" t="s">
        <v>378</v>
      </c>
      <c r="B55" s="4" t="s">
        <v>117</v>
      </c>
      <c r="C55" s="4" t="s">
        <v>24</v>
      </c>
      <c r="D55" s="4" t="s">
        <v>379</v>
      </c>
      <c r="E55" s="4" t="s">
        <v>26</v>
      </c>
      <c r="F55" s="4" t="s">
        <v>380</v>
      </c>
      <c r="G55" s="4" t="s">
        <v>381</v>
      </c>
      <c r="H55" s="4" t="s">
        <v>382</v>
      </c>
      <c r="L55" s="4" t="s">
        <v>32</v>
      </c>
      <c r="M55" s="4" t="s">
        <v>33</v>
      </c>
      <c r="N55" s="4" t="s">
        <v>34</v>
      </c>
      <c r="O55" s="4" t="s">
        <v>239</v>
      </c>
      <c r="P55" s="4" t="s">
        <v>383</v>
      </c>
      <c r="Q55" s="4" t="s">
        <v>384</v>
      </c>
      <c r="R55" s="4" t="s">
        <v>26</v>
      </c>
      <c r="S55" s="4" t="s">
        <v>38</v>
      </c>
      <c r="T55" s="4" t="s">
        <v>26</v>
      </c>
      <c r="U55" s="4" t="s">
        <v>39</v>
      </c>
    </row>
    <row r="56" spans="1:21" s="4" customFormat="1" x14ac:dyDescent="0.35">
      <c r="A56" s="4" t="s">
        <v>385</v>
      </c>
      <c r="B56" s="4" t="s">
        <v>117</v>
      </c>
      <c r="C56" s="4" t="s">
        <v>24</v>
      </c>
      <c r="D56" s="4" t="s">
        <v>386</v>
      </c>
      <c r="E56" s="4" t="s">
        <v>26</v>
      </c>
      <c r="G56" s="4" t="s">
        <v>381</v>
      </c>
      <c r="I56" s="4" t="s">
        <v>255</v>
      </c>
      <c r="J56" s="4" t="s">
        <v>238</v>
      </c>
      <c r="L56" s="4" t="s">
        <v>32</v>
      </c>
      <c r="M56" s="4" t="s">
        <v>141</v>
      </c>
      <c r="N56" s="4" t="s">
        <v>34</v>
      </c>
      <c r="O56" s="4" t="s">
        <v>239</v>
      </c>
      <c r="P56" s="4" t="s">
        <v>387</v>
      </c>
      <c r="Q56" s="4" t="s">
        <v>388</v>
      </c>
      <c r="R56" s="4" t="s">
        <v>26</v>
      </c>
      <c r="S56" s="4" t="s">
        <v>38</v>
      </c>
      <c r="T56" s="4" t="s">
        <v>26</v>
      </c>
      <c r="U56" s="4" t="s">
        <v>39</v>
      </c>
    </row>
    <row r="57" spans="1:21" s="4" customFormat="1" x14ac:dyDescent="0.35">
      <c r="A57" s="4" t="s">
        <v>394</v>
      </c>
      <c r="B57" s="4" t="s">
        <v>117</v>
      </c>
      <c r="C57" s="4" t="s">
        <v>24</v>
      </c>
      <c r="D57" s="4" t="s">
        <v>389</v>
      </c>
      <c r="E57" s="4" t="s">
        <v>26</v>
      </c>
      <c r="F57" s="4" t="s">
        <v>390</v>
      </c>
      <c r="G57" s="4" t="s">
        <v>381</v>
      </c>
      <c r="H57" s="4" t="s">
        <v>391</v>
      </c>
      <c r="I57" s="4" t="s">
        <v>255</v>
      </c>
      <c r="J57" s="4" t="s">
        <v>238</v>
      </c>
      <c r="L57" s="4" t="s">
        <v>32</v>
      </c>
      <c r="M57" s="4" t="s">
        <v>141</v>
      </c>
      <c r="N57" s="4" t="s">
        <v>34</v>
      </c>
      <c r="O57" s="4" t="s">
        <v>239</v>
      </c>
      <c r="P57" s="4" t="s">
        <v>392</v>
      </c>
      <c r="Q57" s="4" t="s">
        <v>393</v>
      </c>
      <c r="R57" s="4" t="s">
        <v>26</v>
      </c>
      <c r="S57" s="4" t="s">
        <v>38</v>
      </c>
      <c r="T57" s="4" t="s">
        <v>26</v>
      </c>
      <c r="U57" s="4" t="s">
        <v>39</v>
      </c>
    </row>
    <row r="58" spans="1:21" s="4" customFormat="1" x14ac:dyDescent="0.35">
      <c r="A58" s="4" t="s">
        <v>395</v>
      </c>
      <c r="B58" s="4" t="s">
        <v>117</v>
      </c>
      <c r="C58" s="4" t="s">
        <v>118</v>
      </c>
      <c r="D58" s="4" t="s">
        <v>396</v>
      </c>
      <c r="E58" s="4" t="s">
        <v>26</v>
      </c>
      <c r="F58" s="4" t="s">
        <v>397</v>
      </c>
      <c r="G58" s="4" t="s">
        <v>398</v>
      </c>
      <c r="H58" s="4" t="s">
        <v>399</v>
      </c>
      <c r="I58" s="4" t="s">
        <v>29</v>
      </c>
      <c r="J58" s="4" t="s">
        <v>400</v>
      </c>
      <c r="L58" s="4" t="s">
        <v>32</v>
      </c>
      <c r="M58" s="4" t="s">
        <v>33</v>
      </c>
      <c r="N58" s="4" t="s">
        <v>34</v>
      </c>
      <c r="O58" s="4" t="s">
        <v>239</v>
      </c>
      <c r="P58" s="4" t="s">
        <v>401</v>
      </c>
      <c r="Q58" s="4" t="s">
        <v>402</v>
      </c>
      <c r="R58" s="4" t="s">
        <v>26</v>
      </c>
      <c r="S58" s="4" t="s">
        <v>38</v>
      </c>
      <c r="T58" s="4" t="s">
        <v>26</v>
      </c>
      <c r="U58" s="4" t="s">
        <v>39</v>
      </c>
    </row>
    <row r="59" spans="1:21" s="4" customFormat="1" x14ac:dyDescent="0.35">
      <c r="A59" s="4" t="s">
        <v>403</v>
      </c>
      <c r="B59" s="4" t="s">
        <v>117</v>
      </c>
      <c r="C59" s="4" t="s">
        <v>404</v>
      </c>
      <c r="D59" s="4" t="s">
        <v>405</v>
      </c>
      <c r="E59" s="4" t="s">
        <v>26</v>
      </c>
      <c r="F59" s="4" t="s">
        <v>406</v>
      </c>
      <c r="G59" s="4" t="s">
        <v>407</v>
      </c>
      <c r="H59" s="4" t="s">
        <v>408</v>
      </c>
      <c r="I59" s="4" t="s">
        <v>255</v>
      </c>
      <c r="J59" s="4" t="s">
        <v>238</v>
      </c>
      <c r="L59" s="4" t="s">
        <v>32</v>
      </c>
      <c r="M59" s="4" t="s">
        <v>141</v>
      </c>
      <c r="N59" s="4" t="s">
        <v>34</v>
      </c>
      <c r="O59" s="4" t="s">
        <v>239</v>
      </c>
      <c r="P59" s="4" t="s">
        <v>409</v>
      </c>
      <c r="Q59" s="4" t="s">
        <v>410</v>
      </c>
      <c r="R59" s="4" t="s">
        <v>26</v>
      </c>
      <c r="S59" s="4" t="s">
        <v>38</v>
      </c>
      <c r="T59" s="4" t="s">
        <v>26</v>
      </c>
      <c r="U59" s="4" t="s">
        <v>39</v>
      </c>
    </row>
    <row r="60" spans="1:21" s="4" customFormat="1" x14ac:dyDescent="0.35">
      <c r="A60" s="4" t="s">
        <v>411</v>
      </c>
      <c r="B60" s="4" t="s">
        <v>117</v>
      </c>
      <c r="C60" s="4" t="s">
        <v>412</v>
      </c>
      <c r="D60" s="4" t="s">
        <v>413</v>
      </c>
      <c r="E60" s="4" t="s">
        <v>26</v>
      </c>
      <c r="G60" s="4" t="s">
        <v>414</v>
      </c>
      <c r="H60" s="4" t="s">
        <v>415</v>
      </c>
      <c r="I60" s="4" t="s">
        <v>139</v>
      </c>
      <c r="J60" s="4" t="s">
        <v>416</v>
      </c>
      <c r="L60" s="4" t="s">
        <v>32</v>
      </c>
      <c r="M60" s="4" t="s">
        <v>141</v>
      </c>
      <c r="N60" s="4" t="s">
        <v>34</v>
      </c>
      <c r="O60" s="4" t="s">
        <v>239</v>
      </c>
      <c r="P60" s="4" t="s">
        <v>417</v>
      </c>
      <c r="Q60" s="4" t="s">
        <v>418</v>
      </c>
      <c r="R60" s="4" t="s">
        <v>26</v>
      </c>
      <c r="S60" s="4" t="s">
        <v>38</v>
      </c>
      <c r="T60" s="4" t="s">
        <v>26</v>
      </c>
      <c r="U60" s="4" t="s">
        <v>39</v>
      </c>
    </row>
    <row r="61" spans="1:21" s="4" customFormat="1" x14ac:dyDescent="0.35">
      <c r="A61" s="4" t="s">
        <v>425</v>
      </c>
      <c r="B61" s="4" t="s">
        <v>117</v>
      </c>
      <c r="C61" s="4" t="s">
        <v>152</v>
      </c>
      <c r="D61" s="4" t="s">
        <v>419</v>
      </c>
      <c r="E61" s="4" t="s">
        <v>26</v>
      </c>
      <c r="F61" s="4" t="s">
        <v>420</v>
      </c>
      <c r="G61" s="4" t="s">
        <v>421</v>
      </c>
      <c r="H61" s="4" t="s">
        <v>422</v>
      </c>
      <c r="I61" s="4" t="s">
        <v>255</v>
      </c>
      <c r="L61" s="4" t="s">
        <v>32</v>
      </c>
      <c r="M61" s="4" t="s">
        <v>141</v>
      </c>
      <c r="N61" s="4" t="s">
        <v>34</v>
      </c>
      <c r="O61" s="4" t="s">
        <v>239</v>
      </c>
      <c r="P61" s="4" t="s">
        <v>423</v>
      </c>
      <c r="Q61" s="4" t="s">
        <v>424</v>
      </c>
      <c r="R61" s="4" t="s">
        <v>26</v>
      </c>
      <c r="S61" s="4" t="s">
        <v>38</v>
      </c>
      <c r="T61" s="4" t="s">
        <v>26</v>
      </c>
      <c r="U61" s="4" t="s">
        <v>39</v>
      </c>
    </row>
    <row r="62" spans="1:21" s="4" customFormat="1" x14ac:dyDescent="0.35">
      <c r="A62" s="4" t="s">
        <v>426</v>
      </c>
      <c r="B62" s="4" t="s">
        <v>117</v>
      </c>
      <c r="C62" s="4" t="s">
        <v>24</v>
      </c>
      <c r="D62" s="4" t="s">
        <v>427</v>
      </c>
      <c r="E62" s="4" t="s">
        <v>26</v>
      </c>
      <c r="H62" s="4" t="s">
        <v>428</v>
      </c>
      <c r="J62" s="4" t="s">
        <v>238</v>
      </c>
      <c r="L62" s="4" t="s">
        <v>32</v>
      </c>
      <c r="M62" s="4" t="s">
        <v>141</v>
      </c>
      <c r="N62" s="4" t="s">
        <v>34</v>
      </c>
      <c r="O62" s="4" t="s">
        <v>239</v>
      </c>
      <c r="P62" s="4" t="s">
        <v>429</v>
      </c>
      <c r="Q62" s="4" t="s">
        <v>430</v>
      </c>
      <c r="R62" s="4" t="s">
        <v>26</v>
      </c>
      <c r="S62" s="4" t="s">
        <v>38</v>
      </c>
      <c r="T62" s="4" t="s">
        <v>115</v>
      </c>
      <c r="U62" s="4" t="s">
        <v>116</v>
      </c>
    </row>
    <row r="63" spans="1:21" s="4" customFormat="1" x14ac:dyDescent="0.35">
      <c r="A63" s="4" t="s">
        <v>431</v>
      </c>
      <c r="B63" s="4" t="s">
        <v>117</v>
      </c>
      <c r="C63" s="4" t="s">
        <v>24</v>
      </c>
      <c r="D63" s="4" t="s">
        <v>432</v>
      </c>
      <c r="E63" s="4" t="s">
        <v>26</v>
      </c>
      <c r="F63" s="4" t="s">
        <v>420</v>
      </c>
      <c r="G63" s="4" t="s">
        <v>421</v>
      </c>
      <c r="H63" s="4" t="s">
        <v>433</v>
      </c>
      <c r="I63" s="4" t="s">
        <v>255</v>
      </c>
      <c r="J63" s="4" t="s">
        <v>238</v>
      </c>
      <c r="L63" s="4" t="s">
        <v>32</v>
      </c>
      <c r="M63" s="4" t="s">
        <v>141</v>
      </c>
      <c r="N63" s="4" t="s">
        <v>34</v>
      </c>
      <c r="O63" s="4" t="s">
        <v>239</v>
      </c>
      <c r="P63" s="4" t="s">
        <v>434</v>
      </c>
      <c r="Q63" s="4" t="s">
        <v>435</v>
      </c>
      <c r="R63" s="4" t="s">
        <v>26</v>
      </c>
      <c r="S63" s="4" t="s">
        <v>38</v>
      </c>
      <c r="T63" s="4" t="s">
        <v>26</v>
      </c>
      <c r="U63" s="4" t="s">
        <v>39</v>
      </c>
    </row>
    <row r="64" spans="1:21" s="4" customFormat="1" x14ac:dyDescent="0.35">
      <c r="A64" s="4" t="s">
        <v>436</v>
      </c>
      <c r="B64" s="4" t="s">
        <v>117</v>
      </c>
      <c r="C64" s="4" t="s">
        <v>24</v>
      </c>
      <c r="D64" s="4" t="s">
        <v>437</v>
      </c>
      <c r="E64" s="4" t="s">
        <v>26</v>
      </c>
      <c r="F64" s="4" t="s">
        <v>420</v>
      </c>
      <c r="G64" s="4" t="s">
        <v>421</v>
      </c>
      <c r="H64" s="4" t="s">
        <v>438</v>
      </c>
      <c r="I64" s="4" t="s">
        <v>255</v>
      </c>
      <c r="J64" s="4" t="s">
        <v>238</v>
      </c>
      <c r="L64" s="4" t="s">
        <v>32</v>
      </c>
      <c r="M64" s="4" t="s">
        <v>141</v>
      </c>
      <c r="N64" s="4" t="s">
        <v>34</v>
      </c>
      <c r="O64" s="4" t="s">
        <v>239</v>
      </c>
      <c r="P64" s="4" t="s">
        <v>423</v>
      </c>
      <c r="Q64" s="4" t="s">
        <v>424</v>
      </c>
      <c r="R64" s="4" t="s">
        <v>26</v>
      </c>
      <c r="S64" s="4" t="s">
        <v>38</v>
      </c>
      <c r="T64" s="4" t="s">
        <v>26</v>
      </c>
      <c r="U64" s="4" t="s">
        <v>39</v>
      </c>
    </row>
    <row r="65" spans="1:21" s="4" customFormat="1" x14ac:dyDescent="0.35">
      <c r="A65" s="4" t="s">
        <v>439</v>
      </c>
      <c r="B65" s="4" t="s">
        <v>117</v>
      </c>
      <c r="C65" s="4" t="s">
        <v>24</v>
      </c>
      <c r="D65" s="4" t="s">
        <v>440</v>
      </c>
      <c r="E65" s="4" t="s">
        <v>26</v>
      </c>
      <c r="F65" s="4" t="s">
        <v>420</v>
      </c>
      <c r="G65" s="4" t="s">
        <v>421</v>
      </c>
      <c r="H65" s="4" t="s">
        <v>441</v>
      </c>
      <c r="I65" s="4" t="s">
        <v>255</v>
      </c>
      <c r="J65" s="4" t="s">
        <v>238</v>
      </c>
      <c r="L65" s="4" t="s">
        <v>32</v>
      </c>
      <c r="M65" s="4" t="s">
        <v>141</v>
      </c>
      <c r="N65" s="4" t="s">
        <v>34</v>
      </c>
      <c r="O65" s="4" t="s">
        <v>239</v>
      </c>
      <c r="P65" s="4" t="s">
        <v>442</v>
      </c>
      <c r="Q65" s="4" t="s">
        <v>443</v>
      </c>
      <c r="R65" s="4" t="s">
        <v>26</v>
      </c>
      <c r="S65" s="4" t="s">
        <v>38</v>
      </c>
      <c r="T65" s="4" t="s">
        <v>26</v>
      </c>
      <c r="U65" s="4" t="s">
        <v>39</v>
      </c>
    </row>
    <row r="66" spans="1:21" s="4" customFormat="1" x14ac:dyDescent="0.35">
      <c r="A66" s="4" t="s">
        <v>444</v>
      </c>
      <c r="B66" s="4" t="s">
        <v>23</v>
      </c>
      <c r="C66" s="4" t="s">
        <v>152</v>
      </c>
      <c r="D66" s="4" t="s">
        <v>445</v>
      </c>
      <c r="E66" s="4" t="s">
        <v>26</v>
      </c>
      <c r="G66" s="4" t="s">
        <v>446</v>
      </c>
      <c r="H66" s="4" t="s">
        <v>447</v>
      </c>
      <c r="I66" s="4" t="s">
        <v>238</v>
      </c>
      <c r="L66" s="4" t="s">
        <v>32</v>
      </c>
      <c r="M66" s="4" t="s">
        <v>141</v>
      </c>
      <c r="N66" s="4" t="s">
        <v>34</v>
      </c>
      <c r="O66" s="4" t="s">
        <v>239</v>
      </c>
      <c r="P66" s="4" t="s">
        <v>448</v>
      </c>
      <c r="Q66" s="4" t="s">
        <v>449</v>
      </c>
      <c r="R66" s="4" t="s">
        <v>26</v>
      </c>
      <c r="S66" s="4" t="s">
        <v>38</v>
      </c>
      <c r="T66" s="4" t="s">
        <v>26</v>
      </c>
      <c r="U66" s="4" t="s">
        <v>39</v>
      </c>
    </row>
    <row r="67" spans="1:21" s="4" customFormat="1" x14ac:dyDescent="0.35">
      <c r="A67" s="4" t="s">
        <v>450</v>
      </c>
      <c r="B67" s="4" t="s">
        <v>117</v>
      </c>
      <c r="C67" s="4" t="s">
        <v>152</v>
      </c>
      <c r="D67" s="4" t="s">
        <v>451</v>
      </c>
      <c r="E67" s="4" t="s">
        <v>26</v>
      </c>
      <c r="G67" s="4" t="s">
        <v>452</v>
      </c>
      <c r="H67" s="4" t="s">
        <v>453</v>
      </c>
      <c r="I67" s="4" t="s">
        <v>255</v>
      </c>
      <c r="J67" s="4" t="s">
        <v>238</v>
      </c>
      <c r="L67" s="4" t="s">
        <v>32</v>
      </c>
      <c r="M67" s="4" t="s">
        <v>141</v>
      </c>
      <c r="N67" s="4" t="s">
        <v>34</v>
      </c>
      <c r="O67" s="4" t="s">
        <v>239</v>
      </c>
      <c r="P67" s="4" t="s">
        <v>454</v>
      </c>
      <c r="Q67" s="4" t="s">
        <v>455</v>
      </c>
      <c r="R67" s="4" t="s">
        <v>26</v>
      </c>
      <c r="S67" s="4" t="s">
        <v>38</v>
      </c>
      <c r="T67" s="4" t="s">
        <v>26</v>
      </c>
      <c r="U67" s="4" t="s">
        <v>39</v>
      </c>
    </row>
    <row r="68" spans="1:21" s="4" customFormat="1" x14ac:dyDescent="0.35">
      <c r="A68" s="4" t="s">
        <v>456</v>
      </c>
      <c r="B68" s="4" t="s">
        <v>117</v>
      </c>
      <c r="C68" s="4" t="s">
        <v>24</v>
      </c>
      <c r="D68" s="4" t="s">
        <v>457</v>
      </c>
      <c r="E68" s="4" t="s">
        <v>26</v>
      </c>
      <c r="G68" s="4" t="s">
        <v>458</v>
      </c>
      <c r="H68" s="4" t="s">
        <v>422</v>
      </c>
      <c r="I68" s="4" t="s">
        <v>255</v>
      </c>
      <c r="J68" s="4" t="s">
        <v>238</v>
      </c>
      <c r="L68" s="4" t="s">
        <v>32</v>
      </c>
      <c r="M68" s="4" t="s">
        <v>141</v>
      </c>
      <c r="N68" s="4" t="s">
        <v>34</v>
      </c>
      <c r="O68" s="4" t="s">
        <v>239</v>
      </c>
      <c r="P68" s="4" t="s">
        <v>459</v>
      </c>
      <c r="Q68" s="4" t="s">
        <v>460</v>
      </c>
      <c r="R68" s="4" t="s">
        <v>26</v>
      </c>
      <c r="S68" s="4" t="s">
        <v>38</v>
      </c>
      <c r="T68" s="4" t="s">
        <v>115</v>
      </c>
      <c r="U68" s="4" t="s">
        <v>116</v>
      </c>
    </row>
    <row r="69" spans="1:21" s="4" customFormat="1" x14ac:dyDescent="0.35">
      <c r="A69" s="4" t="s">
        <v>461</v>
      </c>
      <c r="B69" s="4" t="s">
        <v>117</v>
      </c>
      <c r="C69" s="4" t="s">
        <v>152</v>
      </c>
      <c r="D69" s="4" t="s">
        <v>462</v>
      </c>
      <c r="E69" s="4" t="s">
        <v>26</v>
      </c>
      <c r="G69" s="4" t="s">
        <v>463</v>
      </c>
      <c r="H69" s="4" t="s">
        <v>464</v>
      </c>
      <c r="J69" s="4" t="s">
        <v>238</v>
      </c>
      <c r="L69" s="4" t="s">
        <v>32</v>
      </c>
      <c r="M69" s="4" t="s">
        <v>141</v>
      </c>
      <c r="N69" s="4" t="s">
        <v>34</v>
      </c>
      <c r="O69" s="4" t="s">
        <v>239</v>
      </c>
      <c r="P69" s="4" t="s">
        <v>465</v>
      </c>
      <c r="Q69" s="4" t="s">
        <v>466</v>
      </c>
      <c r="R69" s="4" t="s">
        <v>26</v>
      </c>
      <c r="S69" s="4" t="s">
        <v>38</v>
      </c>
      <c r="T69" s="4" t="s">
        <v>26</v>
      </c>
      <c r="U69" s="4" t="s">
        <v>39</v>
      </c>
    </row>
    <row r="70" spans="1:21" s="4" customFormat="1" x14ac:dyDescent="0.35">
      <c r="A70" s="4" t="s">
        <v>467</v>
      </c>
      <c r="B70" s="4" t="s">
        <v>117</v>
      </c>
      <c r="C70" s="4" t="s">
        <v>152</v>
      </c>
      <c r="D70" s="4" t="s">
        <v>468</v>
      </c>
      <c r="E70" s="4" t="s">
        <v>26</v>
      </c>
      <c r="G70" s="4" t="s">
        <v>469</v>
      </c>
      <c r="H70" s="4" t="s">
        <v>470</v>
      </c>
      <c r="I70" s="4" t="s">
        <v>255</v>
      </c>
      <c r="J70" s="4" t="s">
        <v>238</v>
      </c>
      <c r="L70" s="4" t="s">
        <v>32</v>
      </c>
      <c r="M70" s="4" t="s">
        <v>141</v>
      </c>
      <c r="N70" s="4" t="s">
        <v>34</v>
      </c>
      <c r="O70" s="4" t="s">
        <v>239</v>
      </c>
      <c r="P70" s="4" t="s">
        <v>471</v>
      </c>
      <c r="Q70" s="4" t="s">
        <v>472</v>
      </c>
      <c r="R70" s="4" t="s">
        <v>26</v>
      </c>
      <c r="S70" s="4" t="s">
        <v>38</v>
      </c>
      <c r="T70" s="4" t="s">
        <v>26</v>
      </c>
      <c r="U70" s="4" t="s">
        <v>39</v>
      </c>
    </row>
    <row r="71" spans="1:21" s="4" customFormat="1" x14ac:dyDescent="0.35">
      <c r="A71" s="4" t="s">
        <v>473</v>
      </c>
      <c r="B71" s="4" t="s">
        <v>117</v>
      </c>
      <c r="C71" s="4" t="s">
        <v>24</v>
      </c>
      <c r="D71" s="4" t="s">
        <v>474</v>
      </c>
      <c r="E71" s="4" t="s">
        <v>26</v>
      </c>
      <c r="G71" s="4" t="s">
        <v>475</v>
      </c>
      <c r="H71" s="4" t="s">
        <v>476</v>
      </c>
      <c r="I71" s="4" t="s">
        <v>477</v>
      </c>
      <c r="J71" s="4" t="s">
        <v>478</v>
      </c>
      <c r="L71" s="4" t="s">
        <v>32</v>
      </c>
      <c r="M71" s="4" t="s">
        <v>33</v>
      </c>
      <c r="N71" s="4" t="s">
        <v>34</v>
      </c>
      <c r="O71" s="4" t="s">
        <v>239</v>
      </c>
      <c r="P71" s="4" t="s">
        <v>479</v>
      </c>
      <c r="Q71" s="4" t="s">
        <v>480</v>
      </c>
      <c r="R71" s="4" t="s">
        <v>26</v>
      </c>
      <c r="S71" s="4" t="s">
        <v>38</v>
      </c>
      <c r="T71" s="4" t="s">
        <v>26</v>
      </c>
      <c r="U71" s="4" t="s">
        <v>39</v>
      </c>
    </row>
    <row r="72" spans="1:21" s="4" customFormat="1" x14ac:dyDescent="0.35">
      <c r="A72" s="4" t="s">
        <v>481</v>
      </c>
      <c r="B72" s="4" t="s">
        <v>117</v>
      </c>
      <c r="C72" s="4" t="s">
        <v>482</v>
      </c>
      <c r="D72" s="4" t="s">
        <v>483</v>
      </c>
      <c r="E72" s="4" t="s">
        <v>26</v>
      </c>
      <c r="G72" s="4" t="s">
        <v>484</v>
      </c>
      <c r="H72" s="4" t="s">
        <v>485</v>
      </c>
      <c r="I72" s="4" t="s">
        <v>255</v>
      </c>
      <c r="J72" s="4" t="s">
        <v>238</v>
      </c>
      <c r="L72" s="4" t="s">
        <v>32</v>
      </c>
      <c r="M72" s="4" t="s">
        <v>141</v>
      </c>
      <c r="N72" s="4" t="s">
        <v>34</v>
      </c>
      <c r="O72" s="4" t="s">
        <v>239</v>
      </c>
      <c r="P72" s="4" t="s">
        <v>486</v>
      </c>
      <c r="Q72" s="4" t="s">
        <v>487</v>
      </c>
      <c r="R72" s="4" t="s">
        <v>26</v>
      </c>
      <c r="S72" s="4" t="s">
        <v>38</v>
      </c>
      <c r="T72" s="4" t="s">
        <v>26</v>
      </c>
      <c r="U72" s="4" t="s">
        <v>39</v>
      </c>
    </row>
    <row r="73" spans="1:21" s="4" customFormat="1" x14ac:dyDescent="0.35">
      <c r="A73" s="4" t="s">
        <v>488</v>
      </c>
      <c r="B73" s="4" t="s">
        <v>117</v>
      </c>
      <c r="C73" s="4" t="s">
        <v>118</v>
      </c>
      <c r="D73" s="4" t="s">
        <v>489</v>
      </c>
      <c r="E73" s="4" t="s">
        <v>26</v>
      </c>
      <c r="G73" s="4" t="s">
        <v>490</v>
      </c>
      <c r="H73" s="4" t="s">
        <v>491</v>
      </c>
      <c r="I73" s="4" t="s">
        <v>255</v>
      </c>
      <c r="J73" s="4" t="s">
        <v>238</v>
      </c>
      <c r="L73" s="4" t="s">
        <v>32</v>
      </c>
      <c r="M73" s="4" t="s">
        <v>141</v>
      </c>
      <c r="N73" s="4" t="s">
        <v>34</v>
      </c>
      <c r="O73" s="4" t="s">
        <v>239</v>
      </c>
      <c r="P73" s="4" t="s">
        <v>59</v>
      </c>
      <c r="Q73" s="4" t="s">
        <v>60</v>
      </c>
      <c r="R73" s="4" t="s">
        <v>26</v>
      </c>
      <c r="S73" s="4" t="s">
        <v>38</v>
      </c>
      <c r="T73" s="4" t="s">
        <v>26</v>
      </c>
      <c r="U73" s="4" t="s">
        <v>39</v>
      </c>
    </row>
    <row r="74" spans="1:21" s="4" customFormat="1" x14ac:dyDescent="0.35">
      <c r="A74" s="4" t="s">
        <v>492</v>
      </c>
      <c r="B74" s="4" t="s">
        <v>117</v>
      </c>
      <c r="C74" s="4" t="s">
        <v>152</v>
      </c>
      <c r="D74" s="4" t="s">
        <v>493</v>
      </c>
      <c r="E74" s="4" t="s">
        <v>26</v>
      </c>
      <c r="G74" s="4" t="s">
        <v>494</v>
      </c>
      <c r="H74" s="4" t="s">
        <v>495</v>
      </c>
      <c r="I74" s="4" t="s">
        <v>255</v>
      </c>
      <c r="J74" s="4" t="s">
        <v>238</v>
      </c>
      <c r="L74" s="4" t="s">
        <v>32</v>
      </c>
      <c r="M74" s="4" t="s">
        <v>141</v>
      </c>
      <c r="N74" s="4" t="s">
        <v>34</v>
      </c>
      <c r="O74" s="4" t="s">
        <v>239</v>
      </c>
      <c r="P74" s="4" t="s">
        <v>496</v>
      </c>
      <c r="Q74" s="4" t="s">
        <v>497</v>
      </c>
      <c r="R74" s="4" t="s">
        <v>26</v>
      </c>
      <c r="S74" s="4" t="s">
        <v>38</v>
      </c>
      <c r="T74" s="4" t="s">
        <v>26</v>
      </c>
      <c r="U74" s="4" t="s">
        <v>39</v>
      </c>
    </row>
    <row r="75" spans="1:21" s="4" customFormat="1" x14ac:dyDescent="0.35">
      <c r="A75" s="4" t="s">
        <v>498</v>
      </c>
      <c r="B75" s="4" t="s">
        <v>117</v>
      </c>
      <c r="C75" s="4" t="s">
        <v>499</v>
      </c>
      <c r="D75" s="4" t="s">
        <v>500</v>
      </c>
      <c r="E75" s="4" t="s">
        <v>26</v>
      </c>
      <c r="G75" s="4" t="s">
        <v>501</v>
      </c>
      <c r="H75" s="4" t="s">
        <v>502</v>
      </c>
      <c r="I75" s="4" t="s">
        <v>255</v>
      </c>
      <c r="J75" s="4" t="s">
        <v>238</v>
      </c>
      <c r="L75" s="4" t="s">
        <v>32</v>
      </c>
      <c r="M75" s="4" t="s">
        <v>141</v>
      </c>
      <c r="N75" s="4" t="s">
        <v>34</v>
      </c>
      <c r="O75" s="4" t="s">
        <v>239</v>
      </c>
      <c r="P75" s="4" t="s">
        <v>503</v>
      </c>
      <c r="Q75" s="4" t="s">
        <v>504</v>
      </c>
      <c r="R75" s="4" t="s">
        <v>26</v>
      </c>
      <c r="S75" s="4" t="s">
        <v>38</v>
      </c>
      <c r="T75" s="4" t="s">
        <v>26</v>
      </c>
      <c r="U75" s="4" t="s">
        <v>39</v>
      </c>
    </row>
    <row r="76" spans="1:21" s="4" customFormat="1" x14ac:dyDescent="0.35">
      <c r="A76" s="4" t="s">
        <v>510</v>
      </c>
      <c r="B76" s="4" t="s">
        <v>117</v>
      </c>
      <c r="C76" s="4" t="s">
        <v>24</v>
      </c>
      <c r="D76" s="4" t="s">
        <v>505</v>
      </c>
      <c r="E76" s="4" t="s">
        <v>26</v>
      </c>
      <c r="G76" s="4" t="s">
        <v>506</v>
      </c>
      <c r="H76" s="4" t="s">
        <v>507</v>
      </c>
      <c r="I76" s="4" t="s">
        <v>255</v>
      </c>
      <c r="J76" s="4" t="s">
        <v>238</v>
      </c>
      <c r="L76" s="4" t="s">
        <v>32</v>
      </c>
      <c r="M76" s="4" t="s">
        <v>141</v>
      </c>
      <c r="N76" s="4" t="s">
        <v>34</v>
      </c>
      <c r="O76" s="4" t="s">
        <v>239</v>
      </c>
      <c r="P76" s="4" t="s">
        <v>508</v>
      </c>
      <c r="Q76" s="4" t="s">
        <v>509</v>
      </c>
      <c r="R76" s="4" t="s">
        <v>26</v>
      </c>
      <c r="S76" s="4" t="s">
        <v>38</v>
      </c>
      <c r="T76" s="4" t="s">
        <v>26</v>
      </c>
      <c r="U76" s="4" t="s">
        <v>39</v>
      </c>
    </row>
    <row r="77" spans="1:21" s="4" customFormat="1" x14ac:dyDescent="0.35">
      <c r="A77" s="4" t="s">
        <v>511</v>
      </c>
      <c r="B77" s="4" t="s">
        <v>117</v>
      </c>
      <c r="C77" s="4" t="s">
        <v>512</v>
      </c>
      <c r="D77" s="4" t="s">
        <v>513</v>
      </c>
      <c r="E77" s="4" t="s">
        <v>26</v>
      </c>
      <c r="H77" s="4" t="s">
        <v>514</v>
      </c>
      <c r="I77" s="4" t="s">
        <v>515</v>
      </c>
      <c r="J77" s="4" t="s">
        <v>516</v>
      </c>
      <c r="L77" s="4" t="s">
        <v>32</v>
      </c>
      <c r="M77" s="4" t="s">
        <v>33</v>
      </c>
      <c r="N77" s="4" t="s">
        <v>34</v>
      </c>
      <c r="O77" s="4" t="s">
        <v>239</v>
      </c>
      <c r="P77" s="4" t="s">
        <v>517</v>
      </c>
      <c r="Q77" s="4" t="s">
        <v>518</v>
      </c>
      <c r="R77" s="4" t="s">
        <v>26</v>
      </c>
      <c r="S77" s="4" t="s">
        <v>38</v>
      </c>
      <c r="T77" s="4" t="s">
        <v>26</v>
      </c>
      <c r="U77" s="4" t="s">
        <v>39</v>
      </c>
    </row>
    <row r="78" spans="1:21" s="4" customFormat="1" x14ac:dyDescent="0.35">
      <c r="A78" s="4" t="s">
        <v>519</v>
      </c>
      <c r="B78" s="4" t="s">
        <v>117</v>
      </c>
      <c r="C78" s="4" t="s">
        <v>209</v>
      </c>
      <c r="D78" s="4" t="s">
        <v>520</v>
      </c>
      <c r="E78" s="4" t="s">
        <v>26</v>
      </c>
      <c r="G78" s="4" t="s">
        <v>521</v>
      </c>
      <c r="H78" s="4" t="s">
        <v>522</v>
      </c>
      <c r="I78" s="4" t="s">
        <v>29</v>
      </c>
      <c r="J78" s="4" t="s">
        <v>523</v>
      </c>
      <c r="L78" s="4" t="s">
        <v>32</v>
      </c>
      <c r="M78" s="4" t="s">
        <v>33</v>
      </c>
      <c r="N78" s="4" t="s">
        <v>34</v>
      </c>
      <c r="O78" s="4" t="s">
        <v>239</v>
      </c>
      <c r="P78" s="4" t="s">
        <v>524</v>
      </c>
      <c r="Q78" s="4" t="s">
        <v>525</v>
      </c>
      <c r="R78" s="4" t="s">
        <v>26</v>
      </c>
      <c r="S78" s="4" t="s">
        <v>38</v>
      </c>
      <c r="T78" s="4" t="s">
        <v>26</v>
      </c>
      <c r="U78" s="4" t="s">
        <v>39</v>
      </c>
    </row>
    <row r="79" spans="1:21" s="4" customFormat="1" x14ac:dyDescent="0.35">
      <c r="A79" s="4" t="s">
        <v>526</v>
      </c>
      <c r="B79" s="4" t="s">
        <v>117</v>
      </c>
      <c r="C79" s="4" t="s">
        <v>152</v>
      </c>
      <c r="D79" s="4" t="s">
        <v>527</v>
      </c>
      <c r="E79" s="4" t="s">
        <v>26</v>
      </c>
      <c r="H79" s="4" t="s">
        <v>528</v>
      </c>
      <c r="I79" s="4" t="s">
        <v>255</v>
      </c>
      <c r="J79" s="4" t="s">
        <v>238</v>
      </c>
      <c r="L79" s="4" t="s">
        <v>32</v>
      </c>
      <c r="M79" s="4" t="s">
        <v>141</v>
      </c>
      <c r="N79" s="4" t="s">
        <v>34</v>
      </c>
      <c r="O79" s="4" t="s">
        <v>239</v>
      </c>
      <c r="P79" s="4" t="s">
        <v>529</v>
      </c>
      <c r="Q79" s="4" t="s">
        <v>530</v>
      </c>
      <c r="R79" s="4" t="s">
        <v>26</v>
      </c>
      <c r="S79" s="4" t="s">
        <v>38</v>
      </c>
      <c r="T79" s="4" t="s">
        <v>26</v>
      </c>
      <c r="U79" s="4" t="s">
        <v>39</v>
      </c>
    </row>
    <row r="80" spans="1:21" s="4" customFormat="1" x14ac:dyDescent="0.35">
      <c r="A80" s="4" t="s">
        <v>535</v>
      </c>
      <c r="B80" s="4" t="s">
        <v>117</v>
      </c>
      <c r="C80" s="4" t="s">
        <v>260</v>
      </c>
      <c r="D80" s="4" t="s">
        <v>531</v>
      </c>
      <c r="E80" s="4" t="s">
        <v>26</v>
      </c>
      <c r="H80" s="4" t="s">
        <v>532</v>
      </c>
      <c r="I80" s="4" t="s">
        <v>255</v>
      </c>
      <c r="J80" s="4" t="s">
        <v>238</v>
      </c>
      <c r="L80" s="4" t="s">
        <v>32</v>
      </c>
      <c r="M80" s="4" t="s">
        <v>141</v>
      </c>
      <c r="N80" s="4" t="s">
        <v>34</v>
      </c>
      <c r="O80" s="4" t="s">
        <v>239</v>
      </c>
      <c r="P80" s="4" t="s">
        <v>533</v>
      </c>
      <c r="Q80" s="4" t="s">
        <v>534</v>
      </c>
      <c r="R80" s="4" t="s">
        <v>26</v>
      </c>
      <c r="S80" s="4" t="s">
        <v>38</v>
      </c>
      <c r="T80" s="4" t="s">
        <v>26</v>
      </c>
      <c r="U80" s="4" t="s">
        <v>39</v>
      </c>
    </row>
    <row r="81" spans="1:21" s="4" customFormat="1" x14ac:dyDescent="0.35">
      <c r="A81" s="4" t="s">
        <v>536</v>
      </c>
      <c r="B81" s="4" t="s">
        <v>117</v>
      </c>
      <c r="C81" s="4" t="s">
        <v>118</v>
      </c>
      <c r="D81" s="4" t="s">
        <v>537</v>
      </c>
      <c r="E81" s="4" t="s">
        <v>26</v>
      </c>
      <c r="G81" s="4" t="s">
        <v>538</v>
      </c>
      <c r="H81" s="4" t="s">
        <v>539</v>
      </c>
      <c r="I81" s="4" t="s">
        <v>255</v>
      </c>
      <c r="J81" s="4" t="s">
        <v>540</v>
      </c>
      <c r="L81" s="4" t="s">
        <v>32</v>
      </c>
      <c r="M81" s="4" t="s">
        <v>33</v>
      </c>
      <c r="N81" s="4" t="s">
        <v>34</v>
      </c>
      <c r="O81" s="4" t="s">
        <v>239</v>
      </c>
      <c r="P81" s="4" t="s">
        <v>541</v>
      </c>
      <c r="Q81" s="4" t="s">
        <v>542</v>
      </c>
      <c r="R81" s="4" t="s">
        <v>26</v>
      </c>
      <c r="S81" s="4" t="s">
        <v>38</v>
      </c>
      <c r="T81" s="4" t="s">
        <v>26</v>
      </c>
      <c r="U81" s="4" t="s">
        <v>39</v>
      </c>
    </row>
    <row r="82" spans="1:21" s="4" customFormat="1" x14ac:dyDescent="0.35">
      <c r="A82" s="4" t="s">
        <v>549</v>
      </c>
      <c r="B82" s="4" t="s">
        <v>117</v>
      </c>
      <c r="C82" s="4" t="s">
        <v>118</v>
      </c>
      <c r="D82" s="4" t="s">
        <v>543</v>
      </c>
      <c r="E82" s="4" t="s">
        <v>26</v>
      </c>
      <c r="G82" s="4" t="s">
        <v>544</v>
      </c>
      <c r="H82" s="4" t="s">
        <v>545</v>
      </c>
      <c r="I82" s="4" t="s">
        <v>139</v>
      </c>
      <c r="J82" s="4" t="s">
        <v>546</v>
      </c>
      <c r="L82" s="4" t="s">
        <v>32</v>
      </c>
      <c r="M82" s="4" t="s">
        <v>33</v>
      </c>
      <c r="N82" s="4" t="s">
        <v>34</v>
      </c>
      <c r="O82" s="4" t="s">
        <v>239</v>
      </c>
      <c r="P82" s="4" t="s">
        <v>547</v>
      </c>
      <c r="Q82" s="4" t="s">
        <v>548</v>
      </c>
      <c r="R82" s="4" t="s">
        <v>26</v>
      </c>
      <c r="S82" s="4" t="s">
        <v>38</v>
      </c>
      <c r="T82" s="4" t="s">
        <v>26</v>
      </c>
      <c r="U82" s="4" t="s">
        <v>39</v>
      </c>
    </row>
    <row r="83" spans="1:21" s="4" customFormat="1" x14ac:dyDescent="0.35">
      <c r="A83" s="4" t="s">
        <v>550</v>
      </c>
      <c r="B83" s="4" t="s">
        <v>117</v>
      </c>
      <c r="C83" s="4" t="s">
        <v>24</v>
      </c>
      <c r="D83" s="4" t="s">
        <v>551</v>
      </c>
      <c r="E83" s="4" t="s">
        <v>26</v>
      </c>
      <c r="H83" s="4" t="s">
        <v>552</v>
      </c>
      <c r="I83" s="4" t="s">
        <v>255</v>
      </c>
      <c r="J83" s="4" t="s">
        <v>553</v>
      </c>
      <c r="L83" s="4" t="s">
        <v>32</v>
      </c>
      <c r="M83" s="4" t="s">
        <v>141</v>
      </c>
      <c r="N83" s="4" t="s">
        <v>34</v>
      </c>
      <c r="O83" s="4" t="s">
        <v>239</v>
      </c>
      <c r="P83" s="4" t="s">
        <v>59</v>
      </c>
      <c r="Q83" s="4" t="s">
        <v>60</v>
      </c>
      <c r="R83" s="4" t="s">
        <v>26</v>
      </c>
      <c r="S83" s="4" t="s">
        <v>38</v>
      </c>
      <c r="T83" s="4" t="s">
        <v>26</v>
      </c>
      <c r="U83" s="4" t="s">
        <v>39</v>
      </c>
    </row>
    <row r="84" spans="1:21" s="4" customFormat="1" x14ac:dyDescent="0.35">
      <c r="A84" s="4" t="s">
        <v>559</v>
      </c>
      <c r="B84" s="4" t="s">
        <v>23</v>
      </c>
      <c r="C84" s="4" t="s">
        <v>24</v>
      </c>
      <c r="D84" s="4" t="s">
        <v>554</v>
      </c>
      <c r="E84" s="4" t="s">
        <v>26</v>
      </c>
      <c r="G84" s="4" t="s">
        <v>555</v>
      </c>
      <c r="H84" s="4" t="s">
        <v>556</v>
      </c>
      <c r="I84" s="4" t="s">
        <v>255</v>
      </c>
      <c r="J84" s="4" t="s">
        <v>238</v>
      </c>
      <c r="L84" s="4" t="s">
        <v>32</v>
      </c>
      <c r="M84" s="4" t="s">
        <v>141</v>
      </c>
      <c r="N84" s="4" t="s">
        <v>34</v>
      </c>
      <c r="O84" s="4" t="s">
        <v>239</v>
      </c>
      <c r="P84" s="4" t="s">
        <v>557</v>
      </c>
      <c r="Q84" s="4" t="s">
        <v>558</v>
      </c>
      <c r="R84" s="4" t="s">
        <v>26</v>
      </c>
      <c r="S84" s="4" t="s">
        <v>38</v>
      </c>
      <c r="T84" s="4" t="s">
        <v>26</v>
      </c>
      <c r="U84" s="4" t="s">
        <v>39</v>
      </c>
    </row>
    <row r="85" spans="1:21" s="4" customFormat="1" x14ac:dyDescent="0.35">
      <c r="A85" s="4" t="s">
        <v>560</v>
      </c>
      <c r="B85" s="4" t="s">
        <v>23</v>
      </c>
      <c r="C85" s="4" t="s">
        <v>152</v>
      </c>
      <c r="D85" s="4" t="s">
        <v>561</v>
      </c>
      <c r="E85" s="4" t="s">
        <v>26</v>
      </c>
      <c r="G85" s="4" t="s">
        <v>562</v>
      </c>
      <c r="H85" s="4" t="s">
        <v>563</v>
      </c>
      <c r="I85" s="4" t="s">
        <v>255</v>
      </c>
      <c r="J85" s="4" t="s">
        <v>238</v>
      </c>
      <c r="L85" s="4" t="s">
        <v>32</v>
      </c>
      <c r="M85" s="4" t="s">
        <v>141</v>
      </c>
      <c r="N85" s="4" t="s">
        <v>34</v>
      </c>
      <c r="O85" s="4" t="s">
        <v>239</v>
      </c>
      <c r="P85" s="4" t="s">
        <v>564</v>
      </c>
      <c r="Q85" s="4" t="s">
        <v>565</v>
      </c>
      <c r="R85" s="4" t="s">
        <v>26</v>
      </c>
      <c r="S85" s="4" t="s">
        <v>38</v>
      </c>
      <c r="T85" s="4" t="s">
        <v>26</v>
      </c>
      <c r="U85" s="4" t="s">
        <v>39</v>
      </c>
    </row>
    <row r="86" spans="1:21" s="4" customFormat="1" x14ac:dyDescent="0.35">
      <c r="A86" s="4" t="s">
        <v>566</v>
      </c>
      <c r="B86" s="4" t="s">
        <v>23</v>
      </c>
      <c r="C86" s="4" t="s">
        <v>152</v>
      </c>
      <c r="D86" s="4" t="s">
        <v>567</v>
      </c>
      <c r="E86" s="4" t="s">
        <v>26</v>
      </c>
      <c r="G86" s="4" t="s">
        <v>568</v>
      </c>
      <c r="H86" s="4" t="s">
        <v>569</v>
      </c>
      <c r="I86" s="4" t="s">
        <v>255</v>
      </c>
      <c r="J86" s="4" t="s">
        <v>238</v>
      </c>
      <c r="L86" s="4" t="s">
        <v>32</v>
      </c>
      <c r="M86" s="4" t="s">
        <v>141</v>
      </c>
      <c r="N86" s="4" t="s">
        <v>34</v>
      </c>
      <c r="O86" s="4" t="s">
        <v>239</v>
      </c>
      <c r="P86" s="4" t="s">
        <v>570</v>
      </c>
      <c r="Q86" s="4" t="s">
        <v>571</v>
      </c>
      <c r="R86" s="4" t="s">
        <v>26</v>
      </c>
      <c r="S86" s="4" t="s">
        <v>38</v>
      </c>
      <c r="T86" s="4" t="s">
        <v>101</v>
      </c>
      <c r="U86" s="4" t="s">
        <v>107</v>
      </c>
    </row>
    <row r="87" spans="1:21" s="4" customFormat="1" x14ac:dyDescent="0.35">
      <c r="A87" s="4" t="s">
        <v>577</v>
      </c>
      <c r="B87" s="4" t="s">
        <v>117</v>
      </c>
      <c r="C87" s="4" t="s">
        <v>152</v>
      </c>
      <c r="D87" s="4" t="s">
        <v>572</v>
      </c>
      <c r="E87" s="4" t="s">
        <v>26</v>
      </c>
      <c r="G87" s="4" t="s">
        <v>573</v>
      </c>
      <c r="H87" s="4" t="s">
        <v>574</v>
      </c>
      <c r="I87" s="4" t="s">
        <v>515</v>
      </c>
      <c r="J87" s="4" t="s">
        <v>516</v>
      </c>
      <c r="L87" s="4" t="s">
        <v>32</v>
      </c>
      <c r="M87" s="4" t="s">
        <v>33</v>
      </c>
      <c r="N87" s="4" t="s">
        <v>34</v>
      </c>
      <c r="O87" s="4" t="s">
        <v>239</v>
      </c>
      <c r="P87" s="4" t="s">
        <v>575</v>
      </c>
      <c r="Q87" s="4" t="s">
        <v>576</v>
      </c>
      <c r="R87" s="4" t="s">
        <v>26</v>
      </c>
      <c r="S87" s="4" t="s">
        <v>38</v>
      </c>
      <c r="T87" s="4" t="s">
        <v>26</v>
      </c>
      <c r="U87" s="4" t="s">
        <v>39</v>
      </c>
    </row>
    <row r="88" spans="1:21" s="4" customFormat="1" x14ac:dyDescent="0.35">
      <c r="A88" s="4" t="s">
        <v>583</v>
      </c>
      <c r="B88" s="4" t="s">
        <v>23</v>
      </c>
      <c r="C88" s="4" t="s">
        <v>24</v>
      </c>
      <c r="D88" s="4" t="s">
        <v>578</v>
      </c>
      <c r="E88" s="4" t="s">
        <v>26</v>
      </c>
      <c r="G88" s="4" t="s">
        <v>579</v>
      </c>
      <c r="H88" s="4" t="s">
        <v>580</v>
      </c>
      <c r="I88" s="4" t="s">
        <v>255</v>
      </c>
      <c r="J88" s="4" t="s">
        <v>238</v>
      </c>
      <c r="L88" s="4" t="s">
        <v>32</v>
      </c>
      <c r="M88" s="4" t="s">
        <v>141</v>
      </c>
      <c r="N88" s="4" t="s">
        <v>34</v>
      </c>
      <c r="O88" s="4" t="s">
        <v>239</v>
      </c>
      <c r="P88" s="4" t="s">
        <v>581</v>
      </c>
      <c r="Q88" s="4" t="s">
        <v>582</v>
      </c>
      <c r="R88" s="4" t="s">
        <v>26</v>
      </c>
      <c r="S88" s="4" t="s">
        <v>38</v>
      </c>
      <c r="T88" s="4" t="s">
        <v>26</v>
      </c>
      <c r="U88" s="4" t="s">
        <v>39</v>
      </c>
    </row>
    <row r="89" spans="1:21" s="4" customFormat="1" x14ac:dyDescent="0.35">
      <c r="A89" s="4" t="s">
        <v>584</v>
      </c>
      <c r="B89" s="4" t="s">
        <v>117</v>
      </c>
      <c r="C89" s="4" t="s">
        <v>24</v>
      </c>
      <c r="D89" s="4" t="s">
        <v>585</v>
      </c>
      <c r="E89" s="4" t="s">
        <v>26</v>
      </c>
      <c r="G89" s="4" t="s">
        <v>586</v>
      </c>
      <c r="H89" s="4" t="s">
        <v>587</v>
      </c>
      <c r="I89" s="4" t="s">
        <v>255</v>
      </c>
      <c r="L89" s="4" t="s">
        <v>32</v>
      </c>
      <c r="M89" s="4" t="s">
        <v>141</v>
      </c>
      <c r="N89" s="4" t="s">
        <v>34</v>
      </c>
      <c r="O89" s="4" t="s">
        <v>239</v>
      </c>
      <c r="P89" s="4" t="s">
        <v>588</v>
      </c>
      <c r="Q89" s="4" t="s">
        <v>589</v>
      </c>
      <c r="R89" s="4" t="s">
        <v>26</v>
      </c>
      <c r="S89" s="4" t="s">
        <v>38</v>
      </c>
      <c r="T89" s="4" t="s">
        <v>26</v>
      </c>
      <c r="U89" s="4" t="s">
        <v>39</v>
      </c>
    </row>
    <row r="90" spans="1:21" s="4" customFormat="1" x14ac:dyDescent="0.35">
      <c r="A90" s="4" t="s">
        <v>590</v>
      </c>
      <c r="B90" s="4" t="s">
        <v>117</v>
      </c>
      <c r="C90" s="4" t="s">
        <v>118</v>
      </c>
      <c r="D90" s="4" t="s">
        <v>591</v>
      </c>
      <c r="E90" s="4" t="s">
        <v>26</v>
      </c>
      <c r="G90" s="4" t="s">
        <v>592</v>
      </c>
      <c r="H90" s="4" t="s">
        <v>593</v>
      </c>
      <c r="I90" s="4" t="s">
        <v>255</v>
      </c>
      <c r="J90" s="4" t="s">
        <v>238</v>
      </c>
      <c r="L90" s="4" t="s">
        <v>32</v>
      </c>
      <c r="M90" s="4" t="s">
        <v>141</v>
      </c>
      <c r="N90" s="4" t="s">
        <v>34</v>
      </c>
      <c r="O90" s="4" t="s">
        <v>239</v>
      </c>
      <c r="P90" s="4" t="s">
        <v>59</v>
      </c>
      <c r="Q90" s="4" t="s">
        <v>60</v>
      </c>
      <c r="R90" s="4" t="s">
        <v>26</v>
      </c>
      <c r="S90" s="4" t="s">
        <v>38</v>
      </c>
      <c r="T90" s="4" t="s">
        <v>26</v>
      </c>
      <c r="U90" s="4" t="s">
        <v>39</v>
      </c>
    </row>
    <row r="91" spans="1:21" s="4" customFormat="1" x14ac:dyDescent="0.35">
      <c r="A91" s="4" t="s">
        <v>594</v>
      </c>
      <c r="B91" s="4" t="s">
        <v>117</v>
      </c>
      <c r="C91" s="4" t="s">
        <v>118</v>
      </c>
      <c r="D91" s="4" t="s">
        <v>595</v>
      </c>
      <c r="E91" s="4" t="s">
        <v>26</v>
      </c>
      <c r="G91" s="4" t="s">
        <v>596</v>
      </c>
      <c r="H91" s="4" t="s">
        <v>597</v>
      </c>
      <c r="I91" s="4" t="s">
        <v>238</v>
      </c>
      <c r="L91" s="4" t="s">
        <v>32</v>
      </c>
      <c r="M91" s="4" t="s">
        <v>141</v>
      </c>
      <c r="N91" s="4" t="s">
        <v>34</v>
      </c>
      <c r="O91" s="4" t="s">
        <v>239</v>
      </c>
      <c r="P91" s="4" t="s">
        <v>598</v>
      </c>
      <c r="Q91" s="4" t="s">
        <v>599</v>
      </c>
      <c r="R91" s="4" t="s">
        <v>26</v>
      </c>
      <c r="S91" s="4" t="s">
        <v>38</v>
      </c>
      <c r="T91" s="4" t="s">
        <v>26</v>
      </c>
      <c r="U91" s="4" t="s">
        <v>39</v>
      </c>
    </row>
    <row r="92" spans="1:21" s="4" customFormat="1" x14ac:dyDescent="0.35">
      <c r="A92" s="4" t="s">
        <v>600</v>
      </c>
      <c r="B92" s="4" t="s">
        <v>117</v>
      </c>
      <c r="C92" s="4" t="s">
        <v>601</v>
      </c>
      <c r="D92" s="4" t="s">
        <v>602</v>
      </c>
      <c r="E92" s="4" t="s">
        <v>26</v>
      </c>
      <c r="G92" s="4" t="s">
        <v>603</v>
      </c>
      <c r="H92" s="4" t="s">
        <v>604</v>
      </c>
      <c r="I92" s="4" t="s">
        <v>255</v>
      </c>
      <c r="L92" s="4" t="s">
        <v>32</v>
      </c>
      <c r="M92" s="4" t="s">
        <v>33</v>
      </c>
      <c r="N92" s="4" t="s">
        <v>34</v>
      </c>
      <c r="O92" s="4" t="s">
        <v>239</v>
      </c>
      <c r="P92" s="4" t="s">
        <v>605</v>
      </c>
      <c r="Q92" s="4" t="s">
        <v>606</v>
      </c>
      <c r="R92" s="4" t="s">
        <v>26</v>
      </c>
      <c r="S92" s="4" t="s">
        <v>38</v>
      </c>
      <c r="T92" s="4" t="s">
        <v>26</v>
      </c>
      <c r="U92" s="4" t="s">
        <v>39</v>
      </c>
    </row>
    <row r="93" spans="1:21" s="4" customFormat="1" x14ac:dyDescent="0.35">
      <c r="A93" s="4" t="s">
        <v>612</v>
      </c>
      <c r="B93" s="4" t="s">
        <v>117</v>
      </c>
      <c r="C93" s="4" t="s">
        <v>118</v>
      </c>
      <c r="D93" s="4" t="s">
        <v>607</v>
      </c>
      <c r="E93" s="4" t="s">
        <v>26</v>
      </c>
      <c r="G93" s="4" t="s">
        <v>608</v>
      </c>
      <c r="H93" s="4" t="s">
        <v>609</v>
      </c>
      <c r="I93" s="4" t="s">
        <v>238</v>
      </c>
      <c r="L93" s="4" t="s">
        <v>32</v>
      </c>
      <c r="M93" s="4" t="s">
        <v>141</v>
      </c>
      <c r="N93" s="4" t="s">
        <v>34</v>
      </c>
      <c r="O93" s="4" t="s">
        <v>239</v>
      </c>
      <c r="P93" s="4" t="s">
        <v>610</v>
      </c>
      <c r="Q93" s="4" t="s">
        <v>611</v>
      </c>
      <c r="R93" s="4" t="s">
        <v>26</v>
      </c>
      <c r="S93" s="4" t="s">
        <v>38</v>
      </c>
      <c r="T93" s="4" t="s">
        <v>26</v>
      </c>
      <c r="U93" s="4" t="s">
        <v>39</v>
      </c>
    </row>
    <row r="94" spans="1:21" s="4" customFormat="1" x14ac:dyDescent="0.35">
      <c r="A94" s="4" t="s">
        <v>613</v>
      </c>
      <c r="B94" s="4" t="s">
        <v>117</v>
      </c>
      <c r="C94" s="4" t="s">
        <v>260</v>
      </c>
      <c r="D94" s="4" t="s">
        <v>614</v>
      </c>
      <c r="E94" s="4" t="s">
        <v>26</v>
      </c>
      <c r="G94" s="4" t="s">
        <v>615</v>
      </c>
      <c r="H94" s="4" t="s">
        <v>616</v>
      </c>
      <c r="I94" s="4" t="s">
        <v>255</v>
      </c>
      <c r="J94" s="4" t="s">
        <v>238</v>
      </c>
      <c r="L94" s="4" t="s">
        <v>32</v>
      </c>
      <c r="M94" s="4" t="s">
        <v>141</v>
      </c>
      <c r="N94" s="4" t="s">
        <v>34</v>
      </c>
      <c r="O94" s="4" t="s">
        <v>239</v>
      </c>
      <c r="P94" s="4" t="s">
        <v>617</v>
      </c>
      <c r="Q94" s="4" t="s">
        <v>618</v>
      </c>
      <c r="R94" s="4" t="s">
        <v>26</v>
      </c>
      <c r="S94" s="4" t="s">
        <v>38</v>
      </c>
      <c r="T94" s="4" t="s">
        <v>26</v>
      </c>
      <c r="U94" s="4" t="s">
        <v>39</v>
      </c>
    </row>
    <row r="95" spans="1:21" s="4" customFormat="1" x14ac:dyDescent="0.35">
      <c r="A95" s="4" t="s">
        <v>619</v>
      </c>
      <c r="B95" s="4" t="s">
        <v>117</v>
      </c>
      <c r="C95" s="4" t="s">
        <v>260</v>
      </c>
      <c r="D95" s="4" t="s">
        <v>620</v>
      </c>
      <c r="E95" s="4" t="s">
        <v>26</v>
      </c>
      <c r="G95" s="4" t="s">
        <v>621</v>
      </c>
      <c r="H95" s="4" t="s">
        <v>622</v>
      </c>
      <c r="I95" s="4" t="s">
        <v>255</v>
      </c>
      <c r="J95" s="4" t="s">
        <v>238</v>
      </c>
      <c r="L95" s="4" t="s">
        <v>32</v>
      </c>
      <c r="M95" s="4" t="s">
        <v>141</v>
      </c>
      <c r="N95" s="4" t="s">
        <v>34</v>
      </c>
      <c r="O95" s="4" t="s">
        <v>239</v>
      </c>
      <c r="P95" s="4" t="s">
        <v>59</v>
      </c>
      <c r="Q95" s="4" t="s">
        <v>60</v>
      </c>
      <c r="R95" s="4" t="s">
        <v>26</v>
      </c>
      <c r="S95" s="4" t="s">
        <v>38</v>
      </c>
      <c r="T95" s="4" t="s">
        <v>26</v>
      </c>
      <c r="U95" s="4" t="s">
        <v>39</v>
      </c>
    </row>
    <row r="96" spans="1:21" s="4" customFormat="1" x14ac:dyDescent="0.35">
      <c r="A96" s="4" t="s">
        <v>628</v>
      </c>
      <c r="B96" s="4" t="s">
        <v>117</v>
      </c>
      <c r="C96" s="4" t="s">
        <v>260</v>
      </c>
      <c r="D96" s="4" t="s">
        <v>623</v>
      </c>
      <c r="E96" s="4" t="s">
        <v>26</v>
      </c>
      <c r="G96" s="4" t="s">
        <v>615</v>
      </c>
      <c r="H96" s="4" t="s">
        <v>624</v>
      </c>
      <c r="I96" s="4" t="s">
        <v>29</v>
      </c>
      <c r="J96" s="4" t="s">
        <v>625</v>
      </c>
      <c r="L96" s="4" t="s">
        <v>32</v>
      </c>
      <c r="M96" s="4" t="s">
        <v>33</v>
      </c>
      <c r="N96" s="4" t="s">
        <v>34</v>
      </c>
      <c r="O96" s="4" t="s">
        <v>239</v>
      </c>
      <c r="P96" s="4" t="s">
        <v>626</v>
      </c>
      <c r="Q96" s="4" t="s">
        <v>627</v>
      </c>
      <c r="R96" s="4" t="s">
        <v>26</v>
      </c>
      <c r="S96" s="4" t="s">
        <v>38</v>
      </c>
      <c r="T96" s="4" t="s">
        <v>26</v>
      </c>
      <c r="U96" s="4" t="s">
        <v>39</v>
      </c>
    </row>
    <row r="97" spans="1:21" s="4" customFormat="1" x14ac:dyDescent="0.35">
      <c r="A97" s="4" t="s">
        <v>629</v>
      </c>
      <c r="B97" s="4" t="s">
        <v>23</v>
      </c>
      <c r="C97" s="4" t="s">
        <v>260</v>
      </c>
      <c r="D97" s="4" t="s">
        <v>630</v>
      </c>
      <c r="E97" s="4" t="s">
        <v>26</v>
      </c>
      <c r="H97" s="4" t="s">
        <v>631</v>
      </c>
      <c r="I97" s="4" t="s">
        <v>238</v>
      </c>
      <c r="L97" s="4" t="s">
        <v>32</v>
      </c>
      <c r="M97" s="4" t="s">
        <v>141</v>
      </c>
      <c r="N97" s="4" t="s">
        <v>34</v>
      </c>
      <c r="O97" s="4" t="s">
        <v>239</v>
      </c>
      <c r="P97" s="4" t="s">
        <v>632</v>
      </c>
      <c r="Q97" s="4" t="s">
        <v>633</v>
      </c>
      <c r="R97" s="4" t="s">
        <v>26</v>
      </c>
      <c r="S97" s="4" t="s">
        <v>38</v>
      </c>
      <c r="T97" s="4" t="s">
        <v>26</v>
      </c>
      <c r="U97" s="4" t="s">
        <v>39</v>
      </c>
    </row>
    <row r="98" spans="1:21" s="4" customFormat="1" x14ac:dyDescent="0.35">
      <c r="A98" s="4" t="s">
        <v>634</v>
      </c>
      <c r="B98" s="4" t="s">
        <v>117</v>
      </c>
      <c r="C98" s="4" t="s">
        <v>635</v>
      </c>
      <c r="D98" s="4" t="s">
        <v>636</v>
      </c>
      <c r="E98" s="4" t="s">
        <v>26</v>
      </c>
      <c r="G98" s="4" t="s">
        <v>637</v>
      </c>
      <c r="H98" s="4" t="s">
        <v>638</v>
      </c>
      <c r="I98" s="4" t="s">
        <v>238</v>
      </c>
      <c r="L98" s="4" t="s">
        <v>32</v>
      </c>
      <c r="M98" s="4" t="s">
        <v>141</v>
      </c>
      <c r="N98" s="4" t="s">
        <v>34</v>
      </c>
      <c r="O98" s="4" t="s">
        <v>239</v>
      </c>
      <c r="P98" s="4" t="s">
        <v>639</v>
      </c>
      <c r="Q98" s="4" t="s">
        <v>640</v>
      </c>
      <c r="R98" s="4" t="s">
        <v>26</v>
      </c>
      <c r="S98" s="4" t="s">
        <v>38</v>
      </c>
      <c r="T98" s="4" t="s">
        <v>26</v>
      </c>
      <c r="U98" s="4" t="s">
        <v>39</v>
      </c>
    </row>
    <row r="99" spans="1:21" s="4" customFormat="1" x14ac:dyDescent="0.35">
      <c r="A99" s="4" t="s">
        <v>647</v>
      </c>
      <c r="B99" s="4" t="s">
        <v>117</v>
      </c>
      <c r="C99" s="4" t="s">
        <v>152</v>
      </c>
      <c r="D99" s="4" t="s">
        <v>641</v>
      </c>
      <c r="E99" s="4" t="s">
        <v>26</v>
      </c>
      <c r="G99" s="4" t="s">
        <v>642</v>
      </c>
      <c r="H99" s="4" t="s">
        <v>643</v>
      </c>
      <c r="I99" s="4" t="s">
        <v>29</v>
      </c>
      <c r="J99" s="4" t="s">
        <v>644</v>
      </c>
      <c r="K99" s="4" t="s">
        <v>2234</v>
      </c>
      <c r="L99" s="4" t="s">
        <v>32</v>
      </c>
      <c r="M99" s="4" t="s">
        <v>33</v>
      </c>
      <c r="N99" s="4" t="s">
        <v>34</v>
      </c>
      <c r="O99" s="4" t="s">
        <v>239</v>
      </c>
      <c r="P99" s="4" t="s">
        <v>645</v>
      </c>
      <c r="Q99" s="4" t="s">
        <v>646</v>
      </c>
      <c r="R99" s="4" t="s">
        <v>26</v>
      </c>
      <c r="S99" s="4" t="s">
        <v>38</v>
      </c>
      <c r="T99" s="4" t="s">
        <v>26</v>
      </c>
      <c r="U99" s="4" t="s">
        <v>39</v>
      </c>
    </row>
    <row r="100" spans="1:21" s="4" customFormat="1" x14ac:dyDescent="0.35">
      <c r="A100" s="4" t="s">
        <v>648</v>
      </c>
      <c r="B100" s="4" t="s">
        <v>117</v>
      </c>
      <c r="C100" s="4" t="s">
        <v>152</v>
      </c>
      <c r="D100" s="4" t="s">
        <v>649</v>
      </c>
      <c r="E100" s="4" t="s">
        <v>26</v>
      </c>
      <c r="G100" s="4" t="s">
        <v>650</v>
      </c>
      <c r="H100" s="4" t="s">
        <v>651</v>
      </c>
      <c r="I100" s="4" t="s">
        <v>238</v>
      </c>
      <c r="L100" s="4" t="s">
        <v>32</v>
      </c>
      <c r="M100" s="4" t="s">
        <v>141</v>
      </c>
      <c r="N100" s="4" t="s">
        <v>34</v>
      </c>
      <c r="O100" s="4" t="s">
        <v>239</v>
      </c>
      <c r="P100" s="4" t="s">
        <v>59</v>
      </c>
      <c r="Q100" s="4" t="s">
        <v>60</v>
      </c>
      <c r="R100" s="4" t="s">
        <v>26</v>
      </c>
      <c r="S100" s="4" t="s">
        <v>38</v>
      </c>
      <c r="T100" s="4" t="s">
        <v>26</v>
      </c>
      <c r="U100" s="4" t="s">
        <v>39</v>
      </c>
    </row>
    <row r="101" spans="1:21" s="4" customFormat="1" x14ac:dyDescent="0.35">
      <c r="A101" s="4" t="s">
        <v>652</v>
      </c>
      <c r="B101" s="4" t="s">
        <v>117</v>
      </c>
      <c r="C101" s="4" t="s">
        <v>653</v>
      </c>
      <c r="D101" s="4" t="s">
        <v>654</v>
      </c>
      <c r="E101" s="4" t="s">
        <v>26</v>
      </c>
      <c r="G101" s="4" t="s">
        <v>655</v>
      </c>
      <c r="H101" s="4" t="s">
        <v>656</v>
      </c>
      <c r="I101" s="4" t="s">
        <v>255</v>
      </c>
      <c r="J101" s="4" t="s">
        <v>247</v>
      </c>
      <c r="L101" s="4" t="s">
        <v>32</v>
      </c>
      <c r="M101" s="4" t="s">
        <v>141</v>
      </c>
      <c r="N101" s="4" t="s">
        <v>657</v>
      </c>
      <c r="O101" s="4" t="s">
        <v>239</v>
      </c>
      <c r="P101" s="4" t="s">
        <v>658</v>
      </c>
      <c r="Q101" s="4" t="s">
        <v>659</v>
      </c>
      <c r="R101" s="4" t="s">
        <v>26</v>
      </c>
      <c r="S101" s="4" t="s">
        <v>38</v>
      </c>
      <c r="T101" s="4" t="s">
        <v>26</v>
      </c>
      <c r="U101" s="4" t="s">
        <v>39</v>
      </c>
    </row>
    <row r="102" spans="1:21" s="4" customFormat="1" x14ac:dyDescent="0.35">
      <c r="A102" s="4" t="s">
        <v>660</v>
      </c>
      <c r="B102" s="4" t="s">
        <v>23</v>
      </c>
      <c r="C102" s="4" t="s">
        <v>152</v>
      </c>
      <c r="D102" s="4" t="s">
        <v>661</v>
      </c>
      <c r="E102" s="4" t="s">
        <v>662</v>
      </c>
      <c r="F102" s="4" t="s">
        <v>663</v>
      </c>
      <c r="G102" s="4" t="s">
        <v>664</v>
      </c>
      <c r="J102" s="4" t="s">
        <v>64</v>
      </c>
      <c r="L102" s="4" t="s">
        <v>32</v>
      </c>
      <c r="M102" s="4" t="s">
        <v>33</v>
      </c>
      <c r="N102" s="4" t="s">
        <v>34</v>
      </c>
      <c r="O102" s="4" t="s">
        <v>35</v>
      </c>
      <c r="P102" s="4" t="s">
        <v>665</v>
      </c>
      <c r="Q102" s="4" t="s">
        <v>666</v>
      </c>
      <c r="R102" s="4" t="s">
        <v>662</v>
      </c>
      <c r="S102" s="4" t="s">
        <v>667</v>
      </c>
      <c r="T102" s="4" t="s">
        <v>662</v>
      </c>
      <c r="U102" s="4" t="s">
        <v>668</v>
      </c>
    </row>
    <row r="103" spans="1:21" s="4" customFormat="1" x14ac:dyDescent="0.35">
      <c r="A103" s="4" t="s">
        <v>671</v>
      </c>
      <c r="B103" s="4" t="s">
        <v>62</v>
      </c>
      <c r="C103" s="4" t="s">
        <v>63</v>
      </c>
      <c r="D103" s="4" t="s">
        <v>669</v>
      </c>
      <c r="E103" s="4" t="s">
        <v>662</v>
      </c>
      <c r="F103" s="4" t="s">
        <v>663</v>
      </c>
      <c r="G103" s="4" t="s">
        <v>664</v>
      </c>
      <c r="H103" s="4" t="s">
        <v>670</v>
      </c>
      <c r="J103" s="4" t="s">
        <v>64</v>
      </c>
      <c r="L103" s="4" t="s">
        <v>65</v>
      </c>
      <c r="M103" s="4" t="s">
        <v>33</v>
      </c>
      <c r="N103" s="4" t="s">
        <v>34</v>
      </c>
      <c r="O103" s="4" t="s">
        <v>35</v>
      </c>
      <c r="P103" s="4" t="s">
        <v>665</v>
      </c>
      <c r="Q103" s="4" t="s">
        <v>666</v>
      </c>
      <c r="R103" s="4" t="s">
        <v>662</v>
      </c>
      <c r="S103" s="4" t="s">
        <v>667</v>
      </c>
      <c r="T103" s="4" t="s">
        <v>662</v>
      </c>
      <c r="U103" s="4" t="s">
        <v>668</v>
      </c>
    </row>
    <row r="104" spans="1:21" s="4" customFormat="1" x14ac:dyDescent="0.35">
      <c r="A104" s="4" t="s">
        <v>672</v>
      </c>
      <c r="B104" s="4" t="s">
        <v>53</v>
      </c>
      <c r="C104" s="4" t="s">
        <v>673</v>
      </c>
      <c r="D104" s="4" t="s">
        <v>674</v>
      </c>
      <c r="E104" s="4" t="s">
        <v>662</v>
      </c>
      <c r="G104" s="4" t="s">
        <v>675</v>
      </c>
      <c r="H104" s="4" t="s">
        <v>676</v>
      </c>
      <c r="J104" s="4" t="s">
        <v>238</v>
      </c>
      <c r="L104" s="4" t="s">
        <v>58</v>
      </c>
      <c r="M104" s="4" t="s">
        <v>33</v>
      </c>
      <c r="N104" s="4" t="s">
        <v>34</v>
      </c>
      <c r="O104" s="4" t="s">
        <v>35</v>
      </c>
      <c r="P104" s="4" t="s">
        <v>677</v>
      </c>
      <c r="Q104" s="4" t="s">
        <v>678</v>
      </c>
      <c r="R104" s="4" t="s">
        <v>662</v>
      </c>
      <c r="S104" s="4" t="s">
        <v>667</v>
      </c>
      <c r="T104" s="4" t="s">
        <v>662</v>
      </c>
      <c r="U104" s="4" t="s">
        <v>668</v>
      </c>
    </row>
    <row r="105" spans="1:21" s="4" customFormat="1" x14ac:dyDescent="0.35">
      <c r="A105" s="4" t="s">
        <v>679</v>
      </c>
      <c r="B105" s="4" t="s">
        <v>23</v>
      </c>
      <c r="C105" s="4" t="s">
        <v>24</v>
      </c>
      <c r="D105" s="4" t="s">
        <v>680</v>
      </c>
      <c r="E105" s="4" t="s">
        <v>662</v>
      </c>
      <c r="F105" s="4" t="s">
        <v>681</v>
      </c>
      <c r="G105" s="4" t="s">
        <v>682</v>
      </c>
      <c r="H105" s="4" t="s">
        <v>683</v>
      </c>
      <c r="J105" s="4" t="s">
        <v>157</v>
      </c>
      <c r="L105" s="4" t="s">
        <v>32</v>
      </c>
      <c r="M105" s="4" t="s">
        <v>33</v>
      </c>
      <c r="N105" s="4" t="s">
        <v>34</v>
      </c>
      <c r="O105" s="4" t="s">
        <v>35</v>
      </c>
      <c r="P105" s="4" t="s">
        <v>684</v>
      </c>
      <c r="Q105" s="4" t="s">
        <v>685</v>
      </c>
      <c r="R105" s="4" t="s">
        <v>662</v>
      </c>
      <c r="S105" s="4" t="s">
        <v>667</v>
      </c>
      <c r="T105" s="4" t="s">
        <v>686</v>
      </c>
      <c r="U105" s="4" t="s">
        <v>687</v>
      </c>
    </row>
    <row r="106" spans="1:21" s="4" customFormat="1" x14ac:dyDescent="0.35">
      <c r="A106" s="4" t="s">
        <v>671</v>
      </c>
      <c r="B106" s="4" t="s">
        <v>62</v>
      </c>
      <c r="C106" s="4" t="s">
        <v>63</v>
      </c>
      <c r="D106" s="4" t="s">
        <v>680</v>
      </c>
      <c r="E106" s="4" t="s">
        <v>662</v>
      </c>
      <c r="F106" s="4" t="s">
        <v>681</v>
      </c>
      <c r="G106" s="4" t="s">
        <v>682</v>
      </c>
      <c r="H106" s="4" t="s">
        <v>683</v>
      </c>
      <c r="J106" s="4" t="s">
        <v>157</v>
      </c>
      <c r="L106" s="4" t="s">
        <v>65</v>
      </c>
      <c r="M106" s="4" t="s">
        <v>33</v>
      </c>
      <c r="N106" s="4" t="s">
        <v>34</v>
      </c>
      <c r="O106" s="4" t="s">
        <v>35</v>
      </c>
      <c r="P106" s="4" t="s">
        <v>665</v>
      </c>
      <c r="Q106" s="4" t="s">
        <v>666</v>
      </c>
      <c r="R106" s="4" t="s">
        <v>662</v>
      </c>
      <c r="S106" s="4" t="s">
        <v>667</v>
      </c>
      <c r="T106" s="4" t="s">
        <v>662</v>
      </c>
      <c r="U106" s="4" t="s">
        <v>668</v>
      </c>
    </row>
    <row r="107" spans="1:21" s="4" customFormat="1" x14ac:dyDescent="0.35">
      <c r="A107" s="4" t="s">
        <v>696</v>
      </c>
      <c r="B107" s="4" t="s">
        <v>23</v>
      </c>
      <c r="C107" s="4" t="s">
        <v>24</v>
      </c>
      <c r="D107" s="4" t="s">
        <v>688</v>
      </c>
      <c r="E107" s="4" t="s">
        <v>662</v>
      </c>
      <c r="F107" s="4" t="s">
        <v>689</v>
      </c>
      <c r="G107" s="4" t="s">
        <v>690</v>
      </c>
      <c r="H107" s="4" t="s">
        <v>691</v>
      </c>
      <c r="J107" s="4" t="s">
        <v>64</v>
      </c>
      <c r="L107" s="4" t="s">
        <v>32</v>
      </c>
      <c r="M107" s="4" t="s">
        <v>33</v>
      </c>
      <c r="N107" s="4" t="s">
        <v>34</v>
      </c>
      <c r="O107" s="4" t="s">
        <v>35</v>
      </c>
      <c r="P107" s="4" t="s">
        <v>692</v>
      </c>
      <c r="Q107" s="4" t="s">
        <v>693</v>
      </c>
      <c r="R107" s="4" t="s">
        <v>662</v>
      </c>
      <c r="S107" s="4" t="s">
        <v>667</v>
      </c>
      <c r="T107" s="4" t="s">
        <v>694</v>
      </c>
      <c r="U107" s="4" t="s">
        <v>695</v>
      </c>
    </row>
    <row r="108" spans="1:21" s="4" customFormat="1" x14ac:dyDescent="0.35">
      <c r="A108" s="4" t="s">
        <v>697</v>
      </c>
      <c r="B108" s="4" t="s">
        <v>62</v>
      </c>
      <c r="C108" s="4" t="s">
        <v>24</v>
      </c>
      <c r="D108" s="4" t="s">
        <v>688</v>
      </c>
      <c r="E108" s="4" t="s">
        <v>662</v>
      </c>
      <c r="F108" s="4" t="s">
        <v>689</v>
      </c>
      <c r="H108" s="4" t="s">
        <v>698</v>
      </c>
      <c r="J108" s="4" t="s">
        <v>64</v>
      </c>
      <c r="L108" s="4" t="s">
        <v>65</v>
      </c>
      <c r="M108" s="4" t="s">
        <v>33</v>
      </c>
      <c r="N108" s="4" t="s">
        <v>34</v>
      </c>
      <c r="O108" s="4" t="s">
        <v>35</v>
      </c>
      <c r="P108" s="4" t="s">
        <v>692</v>
      </c>
      <c r="Q108" s="4" t="s">
        <v>693</v>
      </c>
      <c r="R108" s="4" t="s">
        <v>662</v>
      </c>
      <c r="S108" s="4" t="s">
        <v>667</v>
      </c>
      <c r="T108" s="4" t="s">
        <v>694</v>
      </c>
      <c r="U108" s="4" t="s">
        <v>695</v>
      </c>
    </row>
    <row r="109" spans="1:21" s="4" customFormat="1" x14ac:dyDescent="0.35">
      <c r="A109" s="4" t="s">
        <v>707</v>
      </c>
      <c r="B109" s="4" t="s">
        <v>23</v>
      </c>
      <c r="C109" s="4" t="s">
        <v>24</v>
      </c>
      <c r="D109" s="4" t="s">
        <v>699</v>
      </c>
      <c r="E109" s="4" t="s">
        <v>662</v>
      </c>
      <c r="F109" s="4" t="s">
        <v>700</v>
      </c>
      <c r="G109" s="4" t="s">
        <v>701</v>
      </c>
      <c r="H109" s="4" t="s">
        <v>702</v>
      </c>
      <c r="J109" s="4" t="s">
        <v>64</v>
      </c>
      <c r="L109" s="4" t="s">
        <v>32</v>
      </c>
      <c r="M109" s="4" t="s">
        <v>33</v>
      </c>
      <c r="N109" s="4" t="s">
        <v>34</v>
      </c>
      <c r="O109" s="4" t="s">
        <v>35</v>
      </c>
      <c r="P109" s="4" t="s">
        <v>703</v>
      </c>
      <c r="Q109" s="4" t="s">
        <v>704</v>
      </c>
      <c r="R109" s="4" t="s">
        <v>662</v>
      </c>
      <c r="S109" s="4" t="s">
        <v>667</v>
      </c>
      <c r="T109" s="4" t="s">
        <v>705</v>
      </c>
      <c r="U109" s="4" t="s">
        <v>706</v>
      </c>
    </row>
    <row r="110" spans="1:21" s="4" customFormat="1" x14ac:dyDescent="0.35">
      <c r="A110" s="4" t="s">
        <v>708</v>
      </c>
      <c r="B110" s="4" t="s">
        <v>62</v>
      </c>
      <c r="C110" s="4" t="s">
        <v>63</v>
      </c>
      <c r="D110" s="4" t="s">
        <v>699</v>
      </c>
      <c r="E110" s="4" t="s">
        <v>662</v>
      </c>
      <c r="F110" s="4" t="s">
        <v>700</v>
      </c>
      <c r="G110" s="4" t="s">
        <v>701</v>
      </c>
      <c r="H110" s="4" t="s">
        <v>709</v>
      </c>
      <c r="J110" s="4" t="s">
        <v>64</v>
      </c>
      <c r="L110" s="4" t="s">
        <v>65</v>
      </c>
      <c r="M110" s="4" t="s">
        <v>33</v>
      </c>
      <c r="N110" s="4" t="s">
        <v>34</v>
      </c>
      <c r="O110" s="4" t="s">
        <v>35</v>
      </c>
      <c r="P110" s="4" t="s">
        <v>703</v>
      </c>
      <c r="Q110" s="4" t="s">
        <v>704</v>
      </c>
      <c r="R110" s="4" t="s">
        <v>662</v>
      </c>
      <c r="S110" s="4" t="s">
        <v>667</v>
      </c>
      <c r="T110" s="4" t="s">
        <v>705</v>
      </c>
      <c r="U110" s="4" t="s">
        <v>706</v>
      </c>
    </row>
    <row r="111" spans="1:21" s="4" customFormat="1" x14ac:dyDescent="0.35">
      <c r="A111" s="4" t="s">
        <v>710</v>
      </c>
      <c r="B111" s="4" t="s">
        <v>23</v>
      </c>
      <c r="C111" s="4" t="s">
        <v>24</v>
      </c>
      <c r="D111" s="4" t="s">
        <v>711</v>
      </c>
      <c r="E111" s="4" t="s">
        <v>662</v>
      </c>
      <c r="F111" s="4" t="s">
        <v>712</v>
      </c>
      <c r="H111" s="4" t="s">
        <v>713</v>
      </c>
      <c r="J111" s="4" t="s">
        <v>64</v>
      </c>
      <c r="L111" s="4" t="s">
        <v>32</v>
      </c>
      <c r="M111" s="4" t="s">
        <v>33</v>
      </c>
      <c r="N111" s="4" t="s">
        <v>34</v>
      </c>
      <c r="O111" s="4" t="s">
        <v>35</v>
      </c>
      <c r="P111" s="4" t="s">
        <v>714</v>
      </c>
      <c r="Q111" s="4" t="s">
        <v>715</v>
      </c>
      <c r="R111" s="4" t="s">
        <v>662</v>
      </c>
      <c r="S111" s="4" t="s">
        <v>667</v>
      </c>
      <c r="T111" s="4" t="s">
        <v>716</v>
      </c>
      <c r="U111" s="4" t="s">
        <v>717</v>
      </c>
    </row>
    <row r="112" spans="1:21" s="4" customFormat="1" x14ac:dyDescent="0.35">
      <c r="A112" s="4" t="s">
        <v>718</v>
      </c>
      <c r="B112" s="4" t="s">
        <v>23</v>
      </c>
      <c r="D112" s="4" t="s">
        <v>719</v>
      </c>
      <c r="E112" s="4" t="s">
        <v>662</v>
      </c>
      <c r="F112" s="4" t="s">
        <v>720</v>
      </c>
      <c r="H112" s="4" t="s">
        <v>721</v>
      </c>
      <c r="J112" s="4" t="s">
        <v>64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722</v>
      </c>
      <c r="Q112" s="4" t="s">
        <v>723</v>
      </c>
      <c r="R112" s="4" t="s">
        <v>662</v>
      </c>
      <c r="S112" s="4" t="s">
        <v>667</v>
      </c>
      <c r="T112" s="4" t="s">
        <v>662</v>
      </c>
      <c r="U112" s="4" t="s">
        <v>668</v>
      </c>
    </row>
    <row r="113" spans="1:21" s="4" customFormat="1" x14ac:dyDescent="0.35">
      <c r="A113" s="4" t="s">
        <v>724</v>
      </c>
      <c r="B113" s="4" t="s">
        <v>23</v>
      </c>
      <c r="C113" s="4" t="s">
        <v>24</v>
      </c>
      <c r="D113" s="4" t="s">
        <v>725</v>
      </c>
      <c r="E113" s="4" t="s">
        <v>662</v>
      </c>
      <c r="F113" s="4" t="s">
        <v>726</v>
      </c>
      <c r="G113" s="4" t="s">
        <v>727</v>
      </c>
      <c r="J113" s="4" t="s">
        <v>64</v>
      </c>
      <c r="L113" s="4" t="s">
        <v>32</v>
      </c>
      <c r="M113" s="4" t="s">
        <v>33</v>
      </c>
      <c r="N113" s="4" t="s">
        <v>34</v>
      </c>
      <c r="O113" s="4" t="s">
        <v>35</v>
      </c>
      <c r="P113" s="4" t="s">
        <v>728</v>
      </c>
      <c r="Q113" s="4" t="s">
        <v>729</v>
      </c>
      <c r="R113" s="4" t="s">
        <v>662</v>
      </c>
      <c r="S113" s="4" t="s">
        <v>667</v>
      </c>
      <c r="T113" s="4" t="s">
        <v>686</v>
      </c>
      <c r="U113" s="4" t="s">
        <v>687</v>
      </c>
    </row>
    <row r="114" spans="1:21" s="4" customFormat="1" x14ac:dyDescent="0.35">
      <c r="A114" s="4" t="s">
        <v>736</v>
      </c>
      <c r="B114" s="4" t="s">
        <v>23</v>
      </c>
      <c r="C114" s="4" t="s">
        <v>63</v>
      </c>
      <c r="D114" s="4" t="s">
        <v>730</v>
      </c>
      <c r="E114" s="4" t="s">
        <v>662</v>
      </c>
      <c r="F114" s="4" t="s">
        <v>731</v>
      </c>
      <c r="G114" s="4" t="s">
        <v>732</v>
      </c>
      <c r="H114" s="4" t="s">
        <v>733</v>
      </c>
      <c r="J114" s="4" t="s">
        <v>747</v>
      </c>
      <c r="L114" s="4" t="s">
        <v>32</v>
      </c>
      <c r="M114" s="4" t="s">
        <v>33</v>
      </c>
      <c r="N114" s="4" t="s">
        <v>34</v>
      </c>
      <c r="O114" s="4" t="s">
        <v>35</v>
      </c>
      <c r="P114" s="4" t="s">
        <v>734</v>
      </c>
      <c r="Q114" s="4" t="s">
        <v>735</v>
      </c>
      <c r="R114" s="4" t="s">
        <v>662</v>
      </c>
      <c r="S114" s="4" t="s">
        <v>667</v>
      </c>
      <c r="T114" s="4" t="s">
        <v>662</v>
      </c>
      <c r="U114" s="4" t="s">
        <v>668</v>
      </c>
    </row>
    <row r="115" spans="1:21" s="4" customFormat="1" x14ac:dyDescent="0.35">
      <c r="A115" s="4" t="s">
        <v>741</v>
      </c>
      <c r="B115" s="4" t="s">
        <v>62</v>
      </c>
      <c r="C115" s="4" t="s">
        <v>63</v>
      </c>
      <c r="D115" s="4" t="s">
        <v>730</v>
      </c>
      <c r="E115" s="4" t="s">
        <v>662</v>
      </c>
      <c r="F115" s="4" t="s">
        <v>731</v>
      </c>
      <c r="G115" s="4" t="s">
        <v>732</v>
      </c>
      <c r="H115" s="4" t="s">
        <v>737</v>
      </c>
      <c r="J115" s="4" t="s">
        <v>738</v>
      </c>
      <c r="L115" s="4" t="s">
        <v>65</v>
      </c>
      <c r="M115" s="4" t="s">
        <v>33</v>
      </c>
      <c r="N115" s="4" t="s">
        <v>34</v>
      </c>
      <c r="O115" s="4" t="s">
        <v>35</v>
      </c>
      <c r="P115" s="4" t="s">
        <v>739</v>
      </c>
      <c r="Q115" s="4" t="s">
        <v>740</v>
      </c>
      <c r="R115" s="4" t="s">
        <v>662</v>
      </c>
      <c r="S115" s="4" t="s">
        <v>667</v>
      </c>
      <c r="T115" s="4" t="s">
        <v>662</v>
      </c>
      <c r="U115" s="4" t="s">
        <v>668</v>
      </c>
    </row>
    <row r="116" spans="1:21" s="4" customFormat="1" x14ac:dyDescent="0.35">
      <c r="A116" s="4" t="s">
        <v>742</v>
      </c>
      <c r="B116" s="4" t="s">
        <v>23</v>
      </c>
      <c r="C116" s="4" t="s">
        <v>24</v>
      </c>
      <c r="D116" s="4" t="s">
        <v>743</v>
      </c>
      <c r="E116" s="4" t="s">
        <v>662</v>
      </c>
      <c r="F116" s="4" t="s">
        <v>744</v>
      </c>
      <c r="G116" s="4" t="s">
        <v>745</v>
      </c>
      <c r="H116" s="4" t="s">
        <v>746</v>
      </c>
      <c r="J116" s="4" t="s">
        <v>747</v>
      </c>
      <c r="L116" s="4" t="s">
        <v>32</v>
      </c>
      <c r="M116" s="4" t="s">
        <v>33</v>
      </c>
      <c r="N116" s="4" t="s">
        <v>34</v>
      </c>
      <c r="O116" s="4" t="s">
        <v>239</v>
      </c>
      <c r="P116" s="4" t="s">
        <v>748</v>
      </c>
      <c r="Q116" s="4" t="s">
        <v>749</v>
      </c>
      <c r="R116" s="4" t="s">
        <v>662</v>
      </c>
      <c r="S116" s="4" t="s">
        <v>667</v>
      </c>
      <c r="T116" s="4" t="s">
        <v>662</v>
      </c>
      <c r="U116" s="4" t="s">
        <v>668</v>
      </c>
    </row>
    <row r="117" spans="1:21" s="4" customFormat="1" x14ac:dyDescent="0.35">
      <c r="A117" s="4" t="s">
        <v>750</v>
      </c>
      <c r="B117" s="4" t="s">
        <v>117</v>
      </c>
      <c r="C117" s="4" t="s">
        <v>24</v>
      </c>
      <c r="D117" s="4" t="s">
        <v>751</v>
      </c>
      <c r="E117" s="4" t="s">
        <v>662</v>
      </c>
      <c r="F117" s="4" t="s">
        <v>752</v>
      </c>
      <c r="G117" s="4" t="s">
        <v>753</v>
      </c>
      <c r="H117" s="4" t="s">
        <v>754</v>
      </c>
      <c r="J117" s="4" t="s">
        <v>755</v>
      </c>
      <c r="L117" s="4" t="s">
        <v>32</v>
      </c>
      <c r="M117" s="4" t="s">
        <v>33</v>
      </c>
      <c r="N117" s="4" t="s">
        <v>34</v>
      </c>
      <c r="O117" s="4" t="s">
        <v>239</v>
      </c>
      <c r="P117" s="4" t="s">
        <v>756</v>
      </c>
      <c r="Q117" s="4" t="s">
        <v>757</v>
      </c>
      <c r="R117" s="4" t="s">
        <v>662</v>
      </c>
      <c r="S117" s="4" t="s">
        <v>667</v>
      </c>
      <c r="T117" s="4" t="s">
        <v>662</v>
      </c>
      <c r="U117" s="4" t="s">
        <v>668</v>
      </c>
    </row>
    <row r="118" spans="1:21" s="4" customFormat="1" x14ac:dyDescent="0.35">
      <c r="A118" s="4" t="s">
        <v>758</v>
      </c>
      <c r="B118" s="4" t="s">
        <v>117</v>
      </c>
      <c r="C118" s="4" t="s">
        <v>24</v>
      </c>
      <c r="D118" s="4" t="s">
        <v>759</v>
      </c>
      <c r="E118" s="4" t="s">
        <v>662</v>
      </c>
      <c r="F118" s="4" t="s">
        <v>760</v>
      </c>
      <c r="G118" s="4" t="s">
        <v>761</v>
      </c>
      <c r="H118" s="4" t="s">
        <v>762</v>
      </c>
      <c r="J118" s="4" t="s">
        <v>1938</v>
      </c>
      <c r="L118" s="4" t="s">
        <v>32</v>
      </c>
      <c r="M118" s="4" t="s">
        <v>33</v>
      </c>
      <c r="N118" s="4" t="s">
        <v>34</v>
      </c>
      <c r="O118" s="4" t="s">
        <v>239</v>
      </c>
      <c r="P118" s="4" t="s">
        <v>763</v>
      </c>
      <c r="Q118" s="4" t="s">
        <v>764</v>
      </c>
      <c r="R118" s="4" t="s">
        <v>662</v>
      </c>
      <c r="S118" s="4" t="s">
        <v>667</v>
      </c>
      <c r="T118" s="4" t="s">
        <v>662</v>
      </c>
      <c r="U118" s="4" t="s">
        <v>668</v>
      </c>
    </row>
    <row r="119" spans="1:21" s="4" customFormat="1" x14ac:dyDescent="0.35">
      <c r="A119" s="4" t="s">
        <v>769</v>
      </c>
      <c r="B119" s="4" t="s">
        <v>117</v>
      </c>
      <c r="C119" s="4" t="s">
        <v>24</v>
      </c>
      <c r="D119" s="4" t="s">
        <v>765</v>
      </c>
      <c r="E119" s="4" t="s">
        <v>662</v>
      </c>
      <c r="G119" s="4" t="s">
        <v>421</v>
      </c>
      <c r="H119" s="4" t="s">
        <v>766</v>
      </c>
      <c r="L119" s="4" t="s">
        <v>32</v>
      </c>
      <c r="M119" s="4" t="s">
        <v>33</v>
      </c>
      <c r="N119" s="4" t="s">
        <v>34</v>
      </c>
      <c r="O119" s="4" t="s">
        <v>239</v>
      </c>
      <c r="P119" s="4" t="s">
        <v>767</v>
      </c>
      <c r="Q119" s="4" t="s">
        <v>768</v>
      </c>
      <c r="R119" s="4" t="s">
        <v>662</v>
      </c>
      <c r="S119" s="4" t="s">
        <v>667</v>
      </c>
      <c r="T119" s="4" t="s">
        <v>662</v>
      </c>
      <c r="U119" s="4" t="s">
        <v>668</v>
      </c>
    </row>
    <row r="120" spans="1:21" s="4" customFormat="1" x14ac:dyDescent="0.35">
      <c r="A120" s="4" t="s">
        <v>770</v>
      </c>
      <c r="B120" s="4" t="s">
        <v>23</v>
      </c>
      <c r="C120" s="4" t="s">
        <v>152</v>
      </c>
      <c r="D120" s="4" t="s">
        <v>771</v>
      </c>
      <c r="E120" s="4" t="s">
        <v>662</v>
      </c>
      <c r="F120" s="4" t="s">
        <v>772</v>
      </c>
      <c r="G120" s="4" t="s">
        <v>773</v>
      </c>
      <c r="H120" s="4" t="s">
        <v>774</v>
      </c>
      <c r="J120" s="4" t="s">
        <v>775</v>
      </c>
      <c r="L120" s="4" t="s">
        <v>32</v>
      </c>
      <c r="M120" s="4" t="s">
        <v>33</v>
      </c>
      <c r="N120" s="4" t="s">
        <v>34</v>
      </c>
      <c r="O120" s="4" t="s">
        <v>239</v>
      </c>
      <c r="P120" s="4" t="s">
        <v>776</v>
      </c>
      <c r="Q120" s="4" t="s">
        <v>777</v>
      </c>
      <c r="R120" s="4" t="s">
        <v>662</v>
      </c>
      <c r="S120" s="4" t="s">
        <v>667</v>
      </c>
      <c r="T120" s="4" t="s">
        <v>662</v>
      </c>
      <c r="U120" s="4" t="s">
        <v>668</v>
      </c>
    </row>
    <row r="121" spans="1:21" s="4" customFormat="1" x14ac:dyDescent="0.35">
      <c r="A121" s="4" t="s">
        <v>778</v>
      </c>
      <c r="B121" s="4" t="s">
        <v>23</v>
      </c>
      <c r="C121" s="4" t="s">
        <v>24</v>
      </c>
      <c r="D121" s="4" t="s">
        <v>779</v>
      </c>
      <c r="E121" s="4" t="s">
        <v>662</v>
      </c>
      <c r="F121" s="4" t="s">
        <v>780</v>
      </c>
      <c r="G121" s="4" t="s">
        <v>781</v>
      </c>
      <c r="H121" s="4" t="s">
        <v>782</v>
      </c>
      <c r="J121" s="4" t="s">
        <v>783</v>
      </c>
      <c r="L121" s="4" t="s">
        <v>32</v>
      </c>
      <c r="M121" s="4" t="s">
        <v>33</v>
      </c>
      <c r="N121" s="4" t="s">
        <v>34</v>
      </c>
      <c r="O121" s="4" t="s">
        <v>239</v>
      </c>
      <c r="P121" s="4" t="s">
        <v>784</v>
      </c>
      <c r="Q121" s="4" t="s">
        <v>785</v>
      </c>
      <c r="R121" s="4" t="s">
        <v>662</v>
      </c>
      <c r="S121" s="4" t="s">
        <v>667</v>
      </c>
      <c r="T121" s="4" t="s">
        <v>662</v>
      </c>
      <c r="U121" s="4" t="s">
        <v>668</v>
      </c>
    </row>
    <row r="122" spans="1:21" s="4" customFormat="1" x14ac:dyDescent="0.35">
      <c r="A122" s="4" t="s">
        <v>794</v>
      </c>
      <c r="B122" s="4" t="s">
        <v>117</v>
      </c>
      <c r="C122" s="4" t="s">
        <v>152</v>
      </c>
      <c r="D122" s="4" t="s">
        <v>786</v>
      </c>
      <c r="E122" s="4" t="s">
        <v>662</v>
      </c>
      <c r="G122" s="4" t="s">
        <v>381</v>
      </c>
      <c r="H122" s="4" t="s">
        <v>787</v>
      </c>
      <c r="J122" s="4" t="s">
        <v>416</v>
      </c>
      <c r="L122" s="4" t="s">
        <v>32</v>
      </c>
      <c r="M122" s="4" t="s">
        <v>33</v>
      </c>
      <c r="N122" s="4" t="s">
        <v>34</v>
      </c>
      <c r="O122" s="4" t="s">
        <v>239</v>
      </c>
      <c r="P122" s="4" t="s">
        <v>788</v>
      </c>
      <c r="Q122" s="4" t="s">
        <v>789</v>
      </c>
      <c r="R122" s="4" t="s">
        <v>790</v>
      </c>
      <c r="S122" s="4" t="s">
        <v>791</v>
      </c>
      <c r="T122" s="4" t="s">
        <v>792</v>
      </c>
      <c r="U122" s="4" t="s">
        <v>793</v>
      </c>
    </row>
    <row r="123" spans="1:21" s="4" customFormat="1" x14ac:dyDescent="0.35">
      <c r="A123" s="4" t="s">
        <v>801</v>
      </c>
      <c r="B123" s="4" t="s">
        <v>23</v>
      </c>
      <c r="C123" s="4" t="s">
        <v>24</v>
      </c>
      <c r="D123" s="4" t="s">
        <v>795</v>
      </c>
      <c r="E123" s="4" t="s">
        <v>662</v>
      </c>
      <c r="G123" s="4" t="s">
        <v>796</v>
      </c>
      <c r="H123" s="4" t="s">
        <v>797</v>
      </c>
      <c r="J123" s="4" t="s">
        <v>798</v>
      </c>
      <c r="L123" s="4" t="s">
        <v>32</v>
      </c>
      <c r="M123" s="4" t="s">
        <v>33</v>
      </c>
      <c r="N123" s="4" t="s">
        <v>34</v>
      </c>
      <c r="O123" s="4" t="s">
        <v>239</v>
      </c>
      <c r="P123" s="4" t="s">
        <v>799</v>
      </c>
      <c r="Q123" s="4" t="s">
        <v>800</v>
      </c>
      <c r="R123" s="4" t="s">
        <v>662</v>
      </c>
      <c r="S123" s="4" t="s">
        <v>667</v>
      </c>
      <c r="T123" s="4" t="s">
        <v>662</v>
      </c>
      <c r="U123" s="4" t="s">
        <v>668</v>
      </c>
    </row>
    <row r="124" spans="1:21" s="4" customFormat="1" x14ac:dyDescent="0.35">
      <c r="A124" s="4" t="s">
        <v>808</v>
      </c>
      <c r="B124" s="4" t="s">
        <v>117</v>
      </c>
      <c r="C124" s="4" t="s">
        <v>152</v>
      </c>
      <c r="D124" s="4" t="s">
        <v>802</v>
      </c>
      <c r="E124" s="4" t="s">
        <v>662</v>
      </c>
      <c r="G124" s="4" t="s">
        <v>803</v>
      </c>
      <c r="H124" s="4" t="s">
        <v>804</v>
      </c>
      <c r="J124" s="4" t="s">
        <v>805</v>
      </c>
      <c r="L124" s="4" t="s">
        <v>32</v>
      </c>
      <c r="M124" s="4" t="s">
        <v>33</v>
      </c>
      <c r="N124" s="4" t="s">
        <v>34</v>
      </c>
      <c r="O124" s="4" t="s">
        <v>239</v>
      </c>
      <c r="P124" s="4" t="s">
        <v>806</v>
      </c>
      <c r="Q124" s="4" t="s">
        <v>807</v>
      </c>
      <c r="R124" s="4" t="s">
        <v>662</v>
      </c>
      <c r="S124" s="4" t="s">
        <v>667</v>
      </c>
      <c r="T124" s="4" t="s">
        <v>662</v>
      </c>
      <c r="U124" s="4" t="s">
        <v>668</v>
      </c>
    </row>
    <row r="125" spans="1:21" s="4" customFormat="1" x14ac:dyDescent="0.35">
      <c r="A125" s="4" t="s">
        <v>809</v>
      </c>
      <c r="B125" s="4" t="s">
        <v>117</v>
      </c>
      <c r="C125" s="4" t="s">
        <v>152</v>
      </c>
      <c r="D125" s="4" t="s">
        <v>810</v>
      </c>
      <c r="E125" s="4" t="s">
        <v>662</v>
      </c>
      <c r="H125" s="4" t="s">
        <v>811</v>
      </c>
      <c r="J125" s="4" t="s">
        <v>812</v>
      </c>
      <c r="L125" s="4" t="s">
        <v>32</v>
      </c>
      <c r="M125" s="4" t="s">
        <v>33</v>
      </c>
      <c r="N125" s="4" t="s">
        <v>34</v>
      </c>
      <c r="O125" s="4" t="s">
        <v>239</v>
      </c>
      <c r="P125" s="4" t="s">
        <v>813</v>
      </c>
      <c r="Q125" s="4" t="s">
        <v>814</v>
      </c>
      <c r="R125" s="4" t="s">
        <v>662</v>
      </c>
      <c r="S125" s="4" t="s">
        <v>667</v>
      </c>
      <c r="T125" s="4" t="s">
        <v>662</v>
      </c>
      <c r="U125" s="4" t="s">
        <v>668</v>
      </c>
    </row>
    <row r="126" spans="1:21" s="4" customFormat="1" x14ac:dyDescent="0.35">
      <c r="A126" s="4" t="s">
        <v>815</v>
      </c>
      <c r="B126" s="4" t="s">
        <v>117</v>
      </c>
      <c r="C126" s="4" t="s">
        <v>152</v>
      </c>
      <c r="D126" s="4" t="s">
        <v>816</v>
      </c>
      <c r="E126" s="4" t="s">
        <v>662</v>
      </c>
      <c r="G126" s="4" t="s">
        <v>817</v>
      </c>
      <c r="H126" s="4" t="s">
        <v>818</v>
      </c>
      <c r="J126" s="4" t="s">
        <v>819</v>
      </c>
      <c r="L126" s="4" t="s">
        <v>32</v>
      </c>
      <c r="M126" s="4" t="s">
        <v>33</v>
      </c>
      <c r="N126" s="4" t="s">
        <v>34</v>
      </c>
      <c r="O126" s="4" t="s">
        <v>239</v>
      </c>
      <c r="P126" s="4" t="s">
        <v>820</v>
      </c>
      <c r="Q126" s="4" t="s">
        <v>821</v>
      </c>
      <c r="R126" s="4" t="s">
        <v>662</v>
      </c>
      <c r="S126" s="4" t="s">
        <v>667</v>
      </c>
      <c r="T126" s="4" t="s">
        <v>662</v>
      </c>
      <c r="U126" s="4" t="s">
        <v>668</v>
      </c>
    </row>
    <row r="127" spans="1:21" s="4" customFormat="1" x14ac:dyDescent="0.35">
      <c r="A127" s="4" t="s">
        <v>822</v>
      </c>
      <c r="B127" s="4" t="s">
        <v>23</v>
      </c>
      <c r="C127" s="4" t="s">
        <v>152</v>
      </c>
      <c r="D127" s="4" t="s">
        <v>823</v>
      </c>
      <c r="E127" s="4" t="s">
        <v>662</v>
      </c>
      <c r="F127" s="4" t="s">
        <v>824</v>
      </c>
      <c r="G127" s="4" t="s">
        <v>825</v>
      </c>
      <c r="H127" s="4" t="s">
        <v>826</v>
      </c>
      <c r="J127" s="4" t="s">
        <v>827</v>
      </c>
      <c r="L127" s="4" t="s">
        <v>32</v>
      </c>
      <c r="M127" s="4" t="s">
        <v>33</v>
      </c>
      <c r="N127" s="4" t="s">
        <v>34</v>
      </c>
      <c r="O127" s="4" t="s">
        <v>239</v>
      </c>
      <c r="P127" s="4" t="s">
        <v>828</v>
      </c>
      <c r="Q127" s="4" t="s">
        <v>829</v>
      </c>
      <c r="R127" s="4" t="s">
        <v>662</v>
      </c>
      <c r="S127" s="4" t="s">
        <v>667</v>
      </c>
      <c r="T127" s="4" t="s">
        <v>662</v>
      </c>
      <c r="U127" s="4" t="s">
        <v>668</v>
      </c>
    </row>
    <row r="128" spans="1:21" s="4" customFormat="1" x14ac:dyDescent="0.35">
      <c r="A128" s="4" t="s">
        <v>830</v>
      </c>
      <c r="B128" s="4" t="s">
        <v>23</v>
      </c>
      <c r="C128" s="4" t="s">
        <v>24</v>
      </c>
      <c r="D128" s="4" t="s">
        <v>823</v>
      </c>
      <c r="E128" s="4" t="s">
        <v>662</v>
      </c>
      <c r="H128" s="4" t="s">
        <v>831</v>
      </c>
      <c r="J128" s="4" t="s">
        <v>832</v>
      </c>
      <c r="L128" s="4" t="s">
        <v>32</v>
      </c>
      <c r="M128" s="4" t="s">
        <v>33</v>
      </c>
      <c r="N128" s="4" t="s">
        <v>34</v>
      </c>
      <c r="O128" s="4" t="s">
        <v>239</v>
      </c>
      <c r="P128" s="4" t="s">
        <v>833</v>
      </c>
      <c r="Q128" s="4" t="s">
        <v>834</v>
      </c>
      <c r="R128" s="4" t="s">
        <v>662</v>
      </c>
      <c r="S128" s="4" t="s">
        <v>667</v>
      </c>
      <c r="T128" s="4" t="s">
        <v>662</v>
      </c>
      <c r="U128" s="4" t="s">
        <v>668</v>
      </c>
    </row>
    <row r="129" spans="1:21" s="4" customFormat="1" x14ac:dyDescent="0.35">
      <c r="A129" s="4" t="s">
        <v>835</v>
      </c>
      <c r="B129" s="4" t="s">
        <v>23</v>
      </c>
      <c r="C129" s="4" t="s">
        <v>24</v>
      </c>
      <c r="D129" s="4" t="s">
        <v>836</v>
      </c>
      <c r="E129" s="4" t="s">
        <v>662</v>
      </c>
      <c r="F129" s="4" t="s">
        <v>837</v>
      </c>
      <c r="G129" s="4" t="s">
        <v>838</v>
      </c>
      <c r="J129" s="4" t="s">
        <v>839</v>
      </c>
      <c r="L129" s="4" t="s">
        <v>32</v>
      </c>
      <c r="M129" s="4" t="s">
        <v>33</v>
      </c>
      <c r="N129" s="4" t="s">
        <v>34</v>
      </c>
      <c r="O129" s="4" t="s">
        <v>239</v>
      </c>
      <c r="P129" s="4" t="s">
        <v>840</v>
      </c>
      <c r="Q129" s="4" t="s">
        <v>841</v>
      </c>
      <c r="R129" s="4" t="s">
        <v>662</v>
      </c>
      <c r="S129" s="4" t="s">
        <v>667</v>
      </c>
      <c r="T129" s="4" t="s">
        <v>662</v>
      </c>
      <c r="U129" s="4" t="s">
        <v>668</v>
      </c>
    </row>
    <row r="130" spans="1:21" s="4" customFormat="1" x14ac:dyDescent="0.35">
      <c r="A130" s="4" t="s">
        <v>842</v>
      </c>
      <c r="B130" s="4" t="s">
        <v>23</v>
      </c>
      <c r="C130" s="4" t="s">
        <v>152</v>
      </c>
      <c r="D130" s="4" t="s">
        <v>843</v>
      </c>
      <c r="E130" s="4" t="s">
        <v>662</v>
      </c>
      <c r="G130" s="4" t="s">
        <v>844</v>
      </c>
      <c r="H130" s="4" t="s">
        <v>845</v>
      </c>
      <c r="J130" s="4" t="s">
        <v>846</v>
      </c>
      <c r="L130" s="4" t="s">
        <v>32</v>
      </c>
      <c r="M130" s="4" t="s">
        <v>33</v>
      </c>
      <c r="N130" s="4" t="s">
        <v>34</v>
      </c>
      <c r="O130" s="4" t="s">
        <v>239</v>
      </c>
      <c r="P130" s="4" t="s">
        <v>847</v>
      </c>
      <c r="Q130" s="4" t="s">
        <v>848</v>
      </c>
      <c r="R130" s="4" t="s">
        <v>26</v>
      </c>
      <c r="S130" s="4" t="s">
        <v>38</v>
      </c>
      <c r="T130" s="4" t="s">
        <v>26</v>
      </c>
      <c r="U130" s="4" t="s">
        <v>39</v>
      </c>
    </row>
    <row r="131" spans="1:21" s="4" customFormat="1" x14ac:dyDescent="0.35">
      <c r="A131" s="4" t="s">
        <v>852</v>
      </c>
      <c r="B131" s="4" t="s">
        <v>23</v>
      </c>
      <c r="C131" s="4" t="s">
        <v>152</v>
      </c>
      <c r="D131" s="4" t="s">
        <v>849</v>
      </c>
      <c r="E131" s="4" t="s">
        <v>662</v>
      </c>
      <c r="J131" s="4" t="s">
        <v>798</v>
      </c>
      <c r="L131" s="4" t="s">
        <v>32</v>
      </c>
      <c r="M131" s="4" t="s">
        <v>33</v>
      </c>
      <c r="N131" s="4" t="s">
        <v>34</v>
      </c>
      <c r="O131" s="4" t="s">
        <v>239</v>
      </c>
      <c r="P131" s="4" t="s">
        <v>850</v>
      </c>
      <c r="Q131" s="4" t="s">
        <v>851</v>
      </c>
      <c r="R131" s="4" t="s">
        <v>662</v>
      </c>
      <c r="S131" s="4" t="s">
        <v>667</v>
      </c>
      <c r="T131" s="4" t="s">
        <v>662</v>
      </c>
      <c r="U131" s="4" t="s">
        <v>668</v>
      </c>
    </row>
    <row r="132" spans="1:21" s="4" customFormat="1" x14ac:dyDescent="0.35">
      <c r="A132" s="4" t="s">
        <v>853</v>
      </c>
      <c r="B132" s="4" t="s">
        <v>117</v>
      </c>
      <c r="C132" s="4" t="s">
        <v>152</v>
      </c>
      <c r="D132" s="4" t="s">
        <v>854</v>
      </c>
      <c r="E132" s="4" t="s">
        <v>662</v>
      </c>
      <c r="J132" s="4" t="s">
        <v>1938</v>
      </c>
      <c r="L132" s="4" t="s">
        <v>32</v>
      </c>
      <c r="M132" s="4" t="s">
        <v>33</v>
      </c>
      <c r="N132" s="4" t="s">
        <v>34</v>
      </c>
      <c r="O132" s="4" t="s">
        <v>239</v>
      </c>
      <c r="P132" s="4" t="s">
        <v>855</v>
      </c>
      <c r="Q132" s="4" t="s">
        <v>856</v>
      </c>
      <c r="R132" s="4" t="s">
        <v>662</v>
      </c>
      <c r="S132" s="4" t="s">
        <v>667</v>
      </c>
      <c r="T132" s="4" t="s">
        <v>662</v>
      </c>
      <c r="U132" s="4" t="s">
        <v>668</v>
      </c>
    </row>
    <row r="133" spans="1:21" s="4" customFormat="1" x14ac:dyDescent="0.35">
      <c r="A133" s="4" t="s">
        <v>864</v>
      </c>
      <c r="B133" s="4" t="s">
        <v>117</v>
      </c>
      <c r="C133" s="4" t="s">
        <v>152</v>
      </c>
      <c r="D133" s="4" t="s">
        <v>857</v>
      </c>
      <c r="E133" s="4" t="s">
        <v>662</v>
      </c>
      <c r="F133" s="4" t="s">
        <v>858</v>
      </c>
      <c r="G133" s="4" t="s">
        <v>859</v>
      </c>
      <c r="H133" s="4" t="s">
        <v>860</v>
      </c>
      <c r="J133" s="4" t="s">
        <v>861</v>
      </c>
      <c r="L133" s="4" t="s">
        <v>32</v>
      </c>
      <c r="M133" s="4" t="s">
        <v>33</v>
      </c>
      <c r="N133" s="4" t="s">
        <v>34</v>
      </c>
      <c r="O133" s="4" t="s">
        <v>239</v>
      </c>
      <c r="P133" s="4" t="s">
        <v>862</v>
      </c>
      <c r="Q133" s="4" t="s">
        <v>863</v>
      </c>
      <c r="R133" s="4" t="s">
        <v>662</v>
      </c>
      <c r="S133" s="4" t="s">
        <v>667</v>
      </c>
      <c r="T133" s="4" t="s">
        <v>662</v>
      </c>
      <c r="U133" s="4" t="s">
        <v>668</v>
      </c>
    </row>
    <row r="134" spans="1:21" s="4" customFormat="1" x14ac:dyDescent="0.35">
      <c r="A134" s="4" t="s">
        <v>865</v>
      </c>
      <c r="B134" s="4" t="s">
        <v>117</v>
      </c>
      <c r="C134" s="4" t="s">
        <v>24</v>
      </c>
      <c r="D134" s="4" t="s">
        <v>866</v>
      </c>
      <c r="E134" s="4" t="s">
        <v>662</v>
      </c>
      <c r="G134" s="4" t="s">
        <v>867</v>
      </c>
      <c r="J134" s="4" t="s">
        <v>868</v>
      </c>
      <c r="L134" s="4" t="s">
        <v>32</v>
      </c>
      <c r="M134" s="4" t="s">
        <v>33</v>
      </c>
      <c r="N134" s="4" t="s">
        <v>34</v>
      </c>
      <c r="O134" s="4" t="s">
        <v>239</v>
      </c>
      <c r="P134" s="4" t="s">
        <v>869</v>
      </c>
      <c r="Q134" s="4" t="s">
        <v>870</v>
      </c>
      <c r="R134" s="4" t="s">
        <v>662</v>
      </c>
      <c r="S134" s="4" t="s">
        <v>667</v>
      </c>
      <c r="T134" s="4" t="s">
        <v>662</v>
      </c>
      <c r="U134" s="4" t="s">
        <v>668</v>
      </c>
    </row>
    <row r="135" spans="1:21" s="4" customFormat="1" x14ac:dyDescent="0.35">
      <c r="A135" s="4" t="s">
        <v>871</v>
      </c>
      <c r="B135" s="4" t="s">
        <v>117</v>
      </c>
      <c r="C135" s="4" t="s">
        <v>152</v>
      </c>
      <c r="D135" s="4" t="s">
        <v>872</v>
      </c>
      <c r="E135" s="4" t="s">
        <v>662</v>
      </c>
      <c r="G135" s="4" t="s">
        <v>873</v>
      </c>
      <c r="H135" s="4" t="s">
        <v>874</v>
      </c>
      <c r="J135" s="4" t="s">
        <v>875</v>
      </c>
      <c r="L135" s="4" t="s">
        <v>32</v>
      </c>
      <c r="M135" s="4" t="s">
        <v>33</v>
      </c>
      <c r="N135" s="4" t="s">
        <v>34</v>
      </c>
      <c r="O135" s="4" t="s">
        <v>239</v>
      </c>
      <c r="P135" s="4" t="s">
        <v>876</v>
      </c>
      <c r="Q135" s="4" t="s">
        <v>877</v>
      </c>
      <c r="R135" s="4" t="s">
        <v>662</v>
      </c>
      <c r="S135" s="4" t="s">
        <v>667</v>
      </c>
      <c r="T135" s="4" t="s">
        <v>662</v>
      </c>
      <c r="U135" s="4" t="s">
        <v>668</v>
      </c>
    </row>
    <row r="136" spans="1:21" s="4" customFormat="1" x14ac:dyDescent="0.35">
      <c r="A136" s="4" t="s">
        <v>878</v>
      </c>
      <c r="B136" s="4" t="s">
        <v>151</v>
      </c>
      <c r="C136" s="4" t="s">
        <v>152</v>
      </c>
      <c r="D136" s="4" t="s">
        <v>879</v>
      </c>
      <c r="E136" s="4" t="s">
        <v>662</v>
      </c>
      <c r="G136" s="4" t="s">
        <v>880</v>
      </c>
      <c r="H136" s="4" t="s">
        <v>881</v>
      </c>
      <c r="J136" s="4" t="s">
        <v>1938</v>
      </c>
      <c r="L136" s="4" t="s">
        <v>32</v>
      </c>
      <c r="M136" s="4" t="s">
        <v>33</v>
      </c>
      <c r="N136" s="4" t="s">
        <v>34</v>
      </c>
      <c r="O136" s="4" t="s">
        <v>239</v>
      </c>
      <c r="P136" s="4" t="s">
        <v>677</v>
      </c>
      <c r="Q136" s="4" t="s">
        <v>678</v>
      </c>
      <c r="R136" s="4" t="s">
        <v>662</v>
      </c>
      <c r="S136" s="4" t="s">
        <v>667</v>
      </c>
      <c r="T136" s="4" t="s">
        <v>662</v>
      </c>
      <c r="U136" s="4" t="s">
        <v>668</v>
      </c>
    </row>
    <row r="137" spans="1:21" s="4" customFormat="1" x14ac:dyDescent="0.35">
      <c r="A137" s="4" t="s">
        <v>883</v>
      </c>
      <c r="B137" s="4" t="s">
        <v>23</v>
      </c>
      <c r="C137" s="4" t="s">
        <v>24</v>
      </c>
      <c r="D137" s="4" t="s">
        <v>884</v>
      </c>
      <c r="E137" s="4" t="s">
        <v>662</v>
      </c>
      <c r="H137" s="4" t="s">
        <v>885</v>
      </c>
      <c r="J137" s="4" t="s">
        <v>738</v>
      </c>
      <c r="L137" s="4" t="s">
        <v>32</v>
      </c>
      <c r="M137" s="4" t="s">
        <v>33</v>
      </c>
      <c r="N137" s="4" t="s">
        <v>34</v>
      </c>
      <c r="O137" s="4" t="s">
        <v>239</v>
      </c>
      <c r="P137" s="4" t="s">
        <v>886</v>
      </c>
      <c r="Q137" s="4" t="s">
        <v>887</v>
      </c>
      <c r="R137" s="4" t="s">
        <v>662</v>
      </c>
      <c r="S137" s="4" t="s">
        <v>667</v>
      </c>
      <c r="T137" s="4" t="s">
        <v>662</v>
      </c>
      <c r="U137" s="4" t="s">
        <v>668</v>
      </c>
    </row>
    <row r="138" spans="1:21" s="4" customFormat="1" x14ac:dyDescent="0.35">
      <c r="A138" s="4" t="s">
        <v>897</v>
      </c>
      <c r="B138" s="4" t="s">
        <v>23</v>
      </c>
      <c r="C138" s="4" t="s">
        <v>24</v>
      </c>
      <c r="D138" s="4" t="s">
        <v>888</v>
      </c>
      <c r="E138" s="4" t="s">
        <v>662</v>
      </c>
      <c r="F138" s="4" t="s">
        <v>889</v>
      </c>
      <c r="G138" s="4" t="s">
        <v>890</v>
      </c>
      <c r="H138" s="4" t="s">
        <v>891</v>
      </c>
      <c r="J138" s="4" t="s">
        <v>892</v>
      </c>
      <c r="L138" s="4" t="s">
        <v>32</v>
      </c>
      <c r="M138" s="4" t="s">
        <v>33</v>
      </c>
      <c r="N138" s="4" t="s">
        <v>34</v>
      </c>
      <c r="O138" s="4" t="s">
        <v>239</v>
      </c>
      <c r="P138" s="4" t="s">
        <v>893</v>
      </c>
      <c r="Q138" s="4" t="s">
        <v>894</v>
      </c>
      <c r="R138" s="4" t="s">
        <v>662</v>
      </c>
      <c r="S138" s="4" t="s">
        <v>667</v>
      </c>
      <c r="T138" s="4" t="s">
        <v>895</v>
      </c>
      <c r="U138" s="4" t="s">
        <v>896</v>
      </c>
    </row>
    <row r="139" spans="1:21" s="4" customFormat="1" x14ac:dyDescent="0.35">
      <c r="A139" s="4" t="s">
        <v>898</v>
      </c>
      <c r="B139" s="4" t="s">
        <v>117</v>
      </c>
      <c r="C139" s="4" t="s">
        <v>24</v>
      </c>
      <c r="D139" s="4" t="s">
        <v>899</v>
      </c>
      <c r="E139" s="4" t="s">
        <v>662</v>
      </c>
      <c r="H139" s="4" t="s">
        <v>900</v>
      </c>
      <c r="J139" s="4" t="s">
        <v>901</v>
      </c>
      <c r="L139" s="4" t="s">
        <v>32</v>
      </c>
      <c r="M139" s="4" t="s">
        <v>33</v>
      </c>
      <c r="N139" s="4" t="s">
        <v>34</v>
      </c>
      <c r="O139" s="4" t="s">
        <v>239</v>
      </c>
      <c r="P139" s="4" t="s">
        <v>902</v>
      </c>
      <c r="Q139" s="4" t="s">
        <v>903</v>
      </c>
      <c r="R139" s="4" t="s">
        <v>662</v>
      </c>
      <c r="S139" s="4" t="s">
        <v>667</v>
      </c>
      <c r="T139" s="4" t="s">
        <v>895</v>
      </c>
      <c r="U139" s="4" t="s">
        <v>896</v>
      </c>
    </row>
    <row r="140" spans="1:21" s="4" customFormat="1" x14ac:dyDescent="0.35">
      <c r="A140" s="4" t="s">
        <v>904</v>
      </c>
      <c r="B140" s="4" t="s">
        <v>117</v>
      </c>
      <c r="C140" s="4" t="s">
        <v>24</v>
      </c>
      <c r="D140" s="4" t="s">
        <v>905</v>
      </c>
      <c r="E140" s="4" t="s">
        <v>662</v>
      </c>
      <c r="J140" s="4" t="s">
        <v>906</v>
      </c>
      <c r="L140" s="4" t="s">
        <v>32</v>
      </c>
      <c r="M140" s="4" t="s">
        <v>33</v>
      </c>
      <c r="N140" s="4" t="s">
        <v>34</v>
      </c>
      <c r="O140" s="4" t="s">
        <v>239</v>
      </c>
      <c r="P140" s="4" t="s">
        <v>907</v>
      </c>
      <c r="Q140" s="4" t="s">
        <v>908</v>
      </c>
      <c r="R140" s="4" t="s">
        <v>662</v>
      </c>
      <c r="S140" s="4" t="s">
        <v>667</v>
      </c>
      <c r="T140" s="4" t="s">
        <v>895</v>
      </c>
      <c r="U140" s="4" t="s">
        <v>896</v>
      </c>
    </row>
    <row r="141" spans="1:21" s="4" customFormat="1" x14ac:dyDescent="0.35">
      <c r="A141" s="4" t="s">
        <v>912</v>
      </c>
      <c r="B141" s="4" t="s">
        <v>117</v>
      </c>
      <c r="C141" s="4" t="s">
        <v>24</v>
      </c>
      <c r="D141" s="4" t="s">
        <v>909</v>
      </c>
      <c r="E141" s="4" t="s">
        <v>662</v>
      </c>
      <c r="H141" s="4" t="s">
        <v>910</v>
      </c>
      <c r="J141" s="4" t="s">
        <v>911</v>
      </c>
      <c r="L141" s="4" t="s">
        <v>32</v>
      </c>
      <c r="M141" s="4" t="s">
        <v>33</v>
      </c>
      <c r="N141" s="4" t="s">
        <v>34</v>
      </c>
      <c r="O141" s="4" t="s">
        <v>239</v>
      </c>
      <c r="P141" s="4" t="s">
        <v>893</v>
      </c>
      <c r="Q141" s="4" t="s">
        <v>894</v>
      </c>
      <c r="R141" s="4" t="s">
        <v>662</v>
      </c>
      <c r="S141" s="4" t="s">
        <v>667</v>
      </c>
      <c r="T141" s="4" t="s">
        <v>895</v>
      </c>
      <c r="U141" s="4" t="s">
        <v>896</v>
      </c>
    </row>
    <row r="142" spans="1:21" s="4" customFormat="1" x14ac:dyDescent="0.35">
      <c r="A142" s="4" t="s">
        <v>913</v>
      </c>
      <c r="B142" s="4" t="s">
        <v>117</v>
      </c>
      <c r="C142" s="4" t="s">
        <v>24</v>
      </c>
      <c r="D142" s="4" t="s">
        <v>914</v>
      </c>
      <c r="E142" s="4" t="s">
        <v>662</v>
      </c>
      <c r="H142" s="4" t="s">
        <v>915</v>
      </c>
      <c r="J142" s="4" t="s">
        <v>916</v>
      </c>
      <c r="L142" s="4" t="s">
        <v>32</v>
      </c>
      <c r="M142" s="4" t="s">
        <v>33</v>
      </c>
      <c r="N142" s="4" t="s">
        <v>34</v>
      </c>
      <c r="O142" s="4" t="s">
        <v>239</v>
      </c>
      <c r="P142" s="4" t="s">
        <v>917</v>
      </c>
      <c r="Q142" s="4" t="s">
        <v>918</v>
      </c>
      <c r="R142" s="4" t="s">
        <v>662</v>
      </c>
      <c r="S142" s="4" t="s">
        <v>667</v>
      </c>
      <c r="T142" s="4" t="s">
        <v>895</v>
      </c>
      <c r="U142" s="4" t="s">
        <v>896</v>
      </c>
    </row>
    <row r="143" spans="1:21" s="4" customFormat="1" x14ac:dyDescent="0.35">
      <c r="A143" s="4" t="s">
        <v>919</v>
      </c>
      <c r="B143" s="4" t="s">
        <v>117</v>
      </c>
      <c r="C143" s="4" t="s">
        <v>24</v>
      </c>
      <c r="D143" s="4" t="s">
        <v>920</v>
      </c>
      <c r="E143" s="4" t="s">
        <v>662</v>
      </c>
      <c r="H143" s="4" t="s">
        <v>921</v>
      </c>
      <c r="J143" s="4" t="s">
        <v>922</v>
      </c>
      <c r="L143" s="4" t="s">
        <v>32</v>
      </c>
      <c r="M143" s="4" t="s">
        <v>33</v>
      </c>
      <c r="N143" s="4" t="s">
        <v>34</v>
      </c>
      <c r="O143" s="4" t="s">
        <v>239</v>
      </c>
      <c r="P143" s="4" t="s">
        <v>923</v>
      </c>
      <c r="Q143" s="4" t="s">
        <v>924</v>
      </c>
      <c r="R143" s="4" t="s">
        <v>662</v>
      </c>
      <c r="S143" s="4" t="s">
        <v>667</v>
      </c>
      <c r="T143" s="4" t="s">
        <v>895</v>
      </c>
      <c r="U143" s="4" t="s">
        <v>896</v>
      </c>
    </row>
    <row r="144" spans="1:21" s="4" customFormat="1" x14ac:dyDescent="0.35">
      <c r="A144" s="4" t="s">
        <v>928</v>
      </c>
      <c r="B144" s="4" t="s">
        <v>23</v>
      </c>
      <c r="C144" s="4" t="s">
        <v>24</v>
      </c>
      <c r="D144" s="4" t="s">
        <v>925</v>
      </c>
      <c r="E144" s="4" t="s">
        <v>662</v>
      </c>
      <c r="H144" s="4" t="s">
        <v>926</v>
      </c>
      <c r="J144" s="4" t="s">
        <v>927</v>
      </c>
      <c r="L144" s="4" t="s">
        <v>32</v>
      </c>
      <c r="M144" s="4" t="s">
        <v>33</v>
      </c>
      <c r="N144" s="4" t="s">
        <v>34</v>
      </c>
      <c r="O144" s="4" t="s">
        <v>239</v>
      </c>
      <c r="P144" s="4" t="s">
        <v>893</v>
      </c>
      <c r="Q144" s="4" t="s">
        <v>894</v>
      </c>
      <c r="R144" s="4" t="s">
        <v>662</v>
      </c>
      <c r="S144" s="4" t="s">
        <v>667</v>
      </c>
      <c r="T144" s="4" t="s">
        <v>895</v>
      </c>
      <c r="U144" s="4" t="s">
        <v>896</v>
      </c>
    </row>
    <row r="145" spans="1:21" s="4" customFormat="1" x14ac:dyDescent="0.35">
      <c r="A145" s="4" t="s">
        <v>929</v>
      </c>
      <c r="B145" s="4" t="s">
        <v>117</v>
      </c>
      <c r="C145" s="4" t="s">
        <v>152</v>
      </c>
      <c r="D145" s="4" t="s">
        <v>930</v>
      </c>
      <c r="E145" s="4" t="s">
        <v>662</v>
      </c>
      <c r="H145" s="4" t="s">
        <v>931</v>
      </c>
      <c r="J145" s="4" t="s">
        <v>927</v>
      </c>
      <c r="L145" s="4" t="s">
        <v>32</v>
      </c>
      <c r="M145" s="4" t="s">
        <v>33</v>
      </c>
      <c r="N145" s="4" t="s">
        <v>34</v>
      </c>
      <c r="O145" s="4" t="s">
        <v>239</v>
      </c>
      <c r="P145" s="4" t="s">
        <v>932</v>
      </c>
      <c r="Q145" s="4" t="s">
        <v>933</v>
      </c>
      <c r="R145" s="4" t="s">
        <v>662</v>
      </c>
      <c r="S145" s="4" t="s">
        <v>667</v>
      </c>
      <c r="T145" s="4" t="s">
        <v>716</v>
      </c>
      <c r="U145" s="4" t="s">
        <v>717</v>
      </c>
    </row>
    <row r="146" spans="1:21" s="4" customFormat="1" x14ac:dyDescent="0.35">
      <c r="A146" s="4" t="s">
        <v>934</v>
      </c>
      <c r="B146" s="4" t="s">
        <v>23</v>
      </c>
      <c r="C146" s="4" t="s">
        <v>24</v>
      </c>
      <c r="D146" s="4" t="s">
        <v>935</v>
      </c>
      <c r="E146" s="4" t="s">
        <v>662</v>
      </c>
      <c r="H146" s="4" t="s">
        <v>936</v>
      </c>
      <c r="J146" s="4" t="s">
        <v>1938</v>
      </c>
      <c r="L146" s="4" t="s">
        <v>32</v>
      </c>
      <c r="M146" s="4" t="s">
        <v>33</v>
      </c>
      <c r="N146" s="4" t="s">
        <v>34</v>
      </c>
      <c r="O146" s="4" t="s">
        <v>239</v>
      </c>
      <c r="P146" s="4" t="s">
        <v>937</v>
      </c>
      <c r="Q146" s="4" t="s">
        <v>938</v>
      </c>
      <c r="R146" s="4" t="s">
        <v>662</v>
      </c>
      <c r="S146" s="4" t="s">
        <v>667</v>
      </c>
      <c r="T146" s="4" t="s">
        <v>686</v>
      </c>
      <c r="U146" s="4" t="s">
        <v>687</v>
      </c>
    </row>
    <row r="147" spans="1:21" s="4" customFormat="1" x14ac:dyDescent="0.35">
      <c r="A147" s="4" t="s">
        <v>939</v>
      </c>
      <c r="B147" s="4" t="s">
        <v>117</v>
      </c>
      <c r="C147" s="4" t="s">
        <v>24</v>
      </c>
      <c r="D147" s="4" t="s">
        <v>940</v>
      </c>
      <c r="E147" s="4" t="s">
        <v>662</v>
      </c>
      <c r="H147" s="4" t="s">
        <v>941</v>
      </c>
      <c r="J147" s="4" t="s">
        <v>942</v>
      </c>
      <c r="L147" s="4" t="s">
        <v>32</v>
      </c>
      <c r="M147" s="4" t="s">
        <v>33</v>
      </c>
      <c r="N147" s="4" t="s">
        <v>34</v>
      </c>
      <c r="O147" s="4" t="s">
        <v>239</v>
      </c>
      <c r="P147" s="4" t="s">
        <v>943</v>
      </c>
      <c r="Q147" s="4" t="s">
        <v>944</v>
      </c>
      <c r="R147" s="4" t="s">
        <v>662</v>
      </c>
      <c r="S147" s="4" t="s">
        <v>667</v>
      </c>
      <c r="T147" s="4" t="s">
        <v>686</v>
      </c>
      <c r="U147" s="4" t="s">
        <v>687</v>
      </c>
    </row>
    <row r="148" spans="1:21" s="4" customFormat="1" x14ac:dyDescent="0.35">
      <c r="A148" s="4" t="s">
        <v>945</v>
      </c>
      <c r="B148" s="4" t="s">
        <v>23</v>
      </c>
      <c r="C148" s="4" t="s">
        <v>152</v>
      </c>
      <c r="D148" s="4" t="s">
        <v>946</v>
      </c>
      <c r="E148" s="4" t="s">
        <v>662</v>
      </c>
      <c r="F148" s="4" t="s">
        <v>947</v>
      </c>
      <c r="G148" s="4" t="s">
        <v>948</v>
      </c>
      <c r="H148" s="4" t="s">
        <v>949</v>
      </c>
      <c r="J148" s="4" t="s">
        <v>1938</v>
      </c>
      <c r="L148" s="4" t="s">
        <v>32</v>
      </c>
      <c r="M148" s="4" t="s">
        <v>33</v>
      </c>
      <c r="N148" s="4" t="s">
        <v>34</v>
      </c>
      <c r="O148" s="4" t="s">
        <v>239</v>
      </c>
      <c r="P148" s="4" t="s">
        <v>951</v>
      </c>
      <c r="Q148" s="4" t="s">
        <v>952</v>
      </c>
      <c r="R148" s="4" t="s">
        <v>662</v>
      </c>
      <c r="S148" s="4" t="s">
        <v>667</v>
      </c>
      <c r="T148" s="4" t="s">
        <v>716</v>
      </c>
      <c r="U148" s="4" t="s">
        <v>717</v>
      </c>
    </row>
    <row r="149" spans="1:21" s="4" customFormat="1" x14ac:dyDescent="0.35">
      <c r="A149" s="4" t="s">
        <v>960</v>
      </c>
      <c r="B149" s="4" t="s">
        <v>23</v>
      </c>
      <c r="C149" s="4" t="s">
        <v>953</v>
      </c>
      <c r="D149" s="4" t="s">
        <v>954</v>
      </c>
      <c r="E149" s="4" t="s">
        <v>662</v>
      </c>
      <c r="F149" s="4" t="s">
        <v>955</v>
      </c>
      <c r="G149" s="4" t="s">
        <v>956</v>
      </c>
      <c r="H149" s="4" t="s">
        <v>957</v>
      </c>
      <c r="J149" s="4" t="s">
        <v>478</v>
      </c>
      <c r="L149" s="4" t="s">
        <v>32</v>
      </c>
      <c r="M149" s="4" t="s">
        <v>33</v>
      </c>
      <c r="N149" s="4" t="s">
        <v>34</v>
      </c>
      <c r="O149" s="4" t="s">
        <v>239</v>
      </c>
      <c r="P149" s="4" t="s">
        <v>958</v>
      </c>
      <c r="Q149" s="4" t="s">
        <v>959</v>
      </c>
      <c r="R149" s="4" t="s">
        <v>662</v>
      </c>
      <c r="S149" s="4" t="s">
        <v>667</v>
      </c>
      <c r="T149" s="4" t="s">
        <v>686</v>
      </c>
      <c r="U149" s="4" t="s">
        <v>687</v>
      </c>
    </row>
    <row r="150" spans="1:21" s="4" customFormat="1" x14ac:dyDescent="0.35">
      <c r="A150" s="4" t="s">
        <v>961</v>
      </c>
      <c r="B150" s="4" t="s">
        <v>23</v>
      </c>
      <c r="C150" s="4" t="s">
        <v>24</v>
      </c>
      <c r="D150" s="4" t="s">
        <v>962</v>
      </c>
      <c r="E150" s="4" t="s">
        <v>662</v>
      </c>
      <c r="F150" s="4" t="s">
        <v>963</v>
      </c>
      <c r="J150" s="4" t="s">
        <v>964</v>
      </c>
      <c r="L150" s="4" t="s">
        <v>32</v>
      </c>
      <c r="M150" s="4" t="s">
        <v>33</v>
      </c>
      <c r="N150" s="4" t="s">
        <v>34</v>
      </c>
      <c r="O150" s="4" t="s">
        <v>239</v>
      </c>
      <c r="P150" s="4" t="s">
        <v>965</v>
      </c>
      <c r="Q150" s="4" t="s">
        <v>966</v>
      </c>
      <c r="R150" s="4" t="s">
        <v>662</v>
      </c>
      <c r="S150" s="4" t="s">
        <v>667</v>
      </c>
      <c r="T150" s="4" t="s">
        <v>686</v>
      </c>
      <c r="U150" s="4" t="s">
        <v>687</v>
      </c>
    </row>
    <row r="151" spans="1:21" s="4" customFormat="1" x14ac:dyDescent="0.35">
      <c r="A151" s="4" t="s">
        <v>969</v>
      </c>
      <c r="B151" s="4" t="s">
        <v>117</v>
      </c>
      <c r="C151" s="4" t="s">
        <v>24</v>
      </c>
      <c r="D151" s="4" t="s">
        <v>967</v>
      </c>
      <c r="E151" s="4" t="s">
        <v>662</v>
      </c>
      <c r="J151" s="4" t="s">
        <v>968</v>
      </c>
      <c r="L151" s="4" t="s">
        <v>32</v>
      </c>
      <c r="M151" s="4" t="s">
        <v>33</v>
      </c>
      <c r="N151" s="4" t="s">
        <v>34</v>
      </c>
      <c r="O151" s="4" t="s">
        <v>239</v>
      </c>
      <c r="P151" s="4" t="s">
        <v>684</v>
      </c>
      <c r="Q151" s="4" t="s">
        <v>685</v>
      </c>
      <c r="R151" s="4" t="s">
        <v>662</v>
      </c>
      <c r="S151" s="4" t="s">
        <v>667</v>
      </c>
      <c r="T151" s="4" t="s">
        <v>686</v>
      </c>
      <c r="U151" s="4" t="s">
        <v>687</v>
      </c>
    </row>
    <row r="152" spans="1:21" s="4" customFormat="1" x14ac:dyDescent="0.35">
      <c r="A152" s="4" t="s">
        <v>970</v>
      </c>
      <c r="B152" s="4" t="s">
        <v>23</v>
      </c>
      <c r="C152" s="4" t="s">
        <v>24</v>
      </c>
      <c r="D152" s="4" t="s">
        <v>971</v>
      </c>
      <c r="E152" s="4" t="s">
        <v>662</v>
      </c>
      <c r="G152" s="4" t="s">
        <v>972</v>
      </c>
      <c r="H152" s="4" t="s">
        <v>973</v>
      </c>
      <c r="J152" s="4" t="s">
        <v>1938</v>
      </c>
      <c r="L152" s="4" t="s">
        <v>32</v>
      </c>
      <c r="M152" s="4" t="s">
        <v>33</v>
      </c>
      <c r="N152" s="4" t="s">
        <v>34</v>
      </c>
      <c r="O152" s="4" t="s">
        <v>239</v>
      </c>
      <c r="P152" s="4" t="s">
        <v>974</v>
      </c>
      <c r="Q152" s="4" t="s">
        <v>975</v>
      </c>
      <c r="R152" s="4" t="s">
        <v>662</v>
      </c>
      <c r="S152" s="4" t="s">
        <v>667</v>
      </c>
      <c r="T152" s="4" t="s">
        <v>686</v>
      </c>
      <c r="U152" s="4" t="s">
        <v>687</v>
      </c>
    </row>
    <row r="153" spans="1:21" s="4" customFormat="1" x14ac:dyDescent="0.35">
      <c r="A153" s="4" t="s">
        <v>976</v>
      </c>
      <c r="B153" s="4" t="s">
        <v>23</v>
      </c>
      <c r="C153" s="4" t="s">
        <v>24</v>
      </c>
      <c r="D153" s="4" t="s">
        <v>977</v>
      </c>
      <c r="E153" s="4" t="s">
        <v>662</v>
      </c>
      <c r="H153" s="4" t="s">
        <v>978</v>
      </c>
      <c r="J153" s="4" t="s">
        <v>916</v>
      </c>
      <c r="L153" s="4" t="s">
        <v>32</v>
      </c>
      <c r="M153" s="4" t="s">
        <v>33</v>
      </c>
      <c r="N153" s="4" t="s">
        <v>34</v>
      </c>
      <c r="O153" s="4" t="s">
        <v>239</v>
      </c>
      <c r="P153" s="4" t="s">
        <v>979</v>
      </c>
      <c r="Q153" s="4" t="s">
        <v>980</v>
      </c>
      <c r="R153" s="4" t="s">
        <v>662</v>
      </c>
      <c r="S153" s="4" t="s">
        <v>667</v>
      </c>
      <c r="T153" s="4" t="s">
        <v>686</v>
      </c>
      <c r="U153" s="4" t="s">
        <v>687</v>
      </c>
    </row>
    <row r="154" spans="1:21" s="4" customFormat="1" x14ac:dyDescent="0.35">
      <c r="A154" s="4" t="s">
        <v>981</v>
      </c>
      <c r="B154" s="4" t="s">
        <v>23</v>
      </c>
      <c r="C154" s="4" t="s">
        <v>24</v>
      </c>
      <c r="D154" s="4" t="s">
        <v>982</v>
      </c>
      <c r="E154" s="4" t="s">
        <v>662</v>
      </c>
      <c r="J154" s="4" t="s">
        <v>1938</v>
      </c>
      <c r="L154" s="4" t="s">
        <v>32</v>
      </c>
      <c r="M154" s="4" t="s">
        <v>33</v>
      </c>
      <c r="N154" s="4" t="s">
        <v>34</v>
      </c>
      <c r="O154" s="4" t="s">
        <v>239</v>
      </c>
      <c r="P154" s="4" t="s">
        <v>974</v>
      </c>
      <c r="Q154" s="4" t="s">
        <v>975</v>
      </c>
      <c r="R154" s="4" t="s">
        <v>662</v>
      </c>
      <c r="S154" s="4" t="s">
        <v>667</v>
      </c>
      <c r="T154" s="4" t="s">
        <v>686</v>
      </c>
      <c r="U154" s="4" t="s">
        <v>687</v>
      </c>
    </row>
    <row r="155" spans="1:21" s="4" customFormat="1" x14ac:dyDescent="0.35">
      <c r="A155" s="4" t="s">
        <v>985</v>
      </c>
      <c r="B155" s="4" t="s">
        <v>117</v>
      </c>
      <c r="C155" s="4" t="s">
        <v>24</v>
      </c>
      <c r="D155" s="4" t="s">
        <v>983</v>
      </c>
      <c r="E155" s="4" t="s">
        <v>662</v>
      </c>
      <c r="F155" s="4" t="s">
        <v>420</v>
      </c>
      <c r="G155" s="4" t="s">
        <v>984</v>
      </c>
      <c r="J155" s="4" t="s">
        <v>738</v>
      </c>
      <c r="L155" s="4" t="s">
        <v>32</v>
      </c>
      <c r="M155" s="4" t="s">
        <v>33</v>
      </c>
      <c r="N155" s="4" t="s">
        <v>34</v>
      </c>
      <c r="O155" s="4" t="s">
        <v>239</v>
      </c>
      <c r="P155" s="4" t="s">
        <v>974</v>
      </c>
      <c r="Q155" s="4" t="s">
        <v>975</v>
      </c>
      <c r="R155" s="4" t="s">
        <v>662</v>
      </c>
      <c r="S155" s="4" t="s">
        <v>667</v>
      </c>
      <c r="T155" s="4" t="s">
        <v>686</v>
      </c>
      <c r="U155" s="4" t="s">
        <v>687</v>
      </c>
    </row>
    <row r="156" spans="1:21" s="4" customFormat="1" x14ac:dyDescent="0.35">
      <c r="A156" s="4" t="s">
        <v>990</v>
      </c>
      <c r="B156" s="4" t="s">
        <v>23</v>
      </c>
      <c r="C156" s="4" t="s">
        <v>24</v>
      </c>
      <c r="D156" s="4" t="s">
        <v>986</v>
      </c>
      <c r="E156" s="4" t="s">
        <v>662</v>
      </c>
      <c r="H156" s="4" t="s">
        <v>987</v>
      </c>
      <c r="J156" s="4" t="s">
        <v>1938</v>
      </c>
      <c r="L156" s="4" t="s">
        <v>32</v>
      </c>
      <c r="M156" s="4" t="s">
        <v>33</v>
      </c>
      <c r="N156" s="4" t="s">
        <v>34</v>
      </c>
      <c r="O156" s="4" t="s">
        <v>239</v>
      </c>
      <c r="P156" s="4" t="s">
        <v>988</v>
      </c>
      <c r="Q156" s="4" t="s">
        <v>989</v>
      </c>
      <c r="R156" s="4" t="s">
        <v>662</v>
      </c>
      <c r="S156" s="4" t="s">
        <v>667</v>
      </c>
      <c r="T156" s="4" t="s">
        <v>686</v>
      </c>
      <c r="U156" s="4" t="s">
        <v>687</v>
      </c>
    </row>
    <row r="157" spans="1:21" s="4" customFormat="1" x14ac:dyDescent="0.35">
      <c r="A157" s="4" t="s">
        <v>991</v>
      </c>
      <c r="B157" s="4" t="s">
        <v>117</v>
      </c>
      <c r="C157" s="4" t="s">
        <v>24</v>
      </c>
      <c r="D157" s="4" t="s">
        <v>992</v>
      </c>
      <c r="E157" s="4" t="s">
        <v>662</v>
      </c>
      <c r="G157" s="4" t="s">
        <v>993</v>
      </c>
      <c r="H157" s="4" t="s">
        <v>994</v>
      </c>
      <c r="J157" s="4" t="s">
        <v>964</v>
      </c>
      <c r="L157" s="4" t="s">
        <v>32</v>
      </c>
      <c r="M157" s="4" t="s">
        <v>33</v>
      </c>
      <c r="N157" s="4" t="s">
        <v>34</v>
      </c>
      <c r="O157" s="4" t="s">
        <v>239</v>
      </c>
      <c r="P157" s="4" t="s">
        <v>974</v>
      </c>
      <c r="Q157" s="4" t="s">
        <v>975</v>
      </c>
      <c r="R157" s="4" t="s">
        <v>662</v>
      </c>
      <c r="S157" s="4" t="s">
        <v>667</v>
      </c>
      <c r="T157" s="4" t="s">
        <v>686</v>
      </c>
      <c r="U157" s="4" t="s">
        <v>687</v>
      </c>
    </row>
    <row r="158" spans="1:21" s="4" customFormat="1" x14ac:dyDescent="0.35">
      <c r="A158" s="4" t="s">
        <v>999</v>
      </c>
      <c r="B158" s="4" t="s">
        <v>23</v>
      </c>
      <c r="C158" s="4" t="s">
        <v>24</v>
      </c>
      <c r="D158" s="4" t="s">
        <v>995</v>
      </c>
      <c r="E158" s="4" t="s">
        <v>662</v>
      </c>
      <c r="J158" s="4" t="s">
        <v>996</v>
      </c>
      <c r="L158" s="4" t="s">
        <v>32</v>
      </c>
      <c r="M158" s="4" t="s">
        <v>33</v>
      </c>
      <c r="N158" s="4" t="s">
        <v>34</v>
      </c>
      <c r="O158" s="4" t="s">
        <v>239</v>
      </c>
      <c r="P158" s="4" t="s">
        <v>997</v>
      </c>
      <c r="Q158" s="4" t="s">
        <v>998</v>
      </c>
      <c r="R158" s="4" t="s">
        <v>662</v>
      </c>
      <c r="S158" s="4" t="s">
        <v>667</v>
      </c>
      <c r="T158" s="4" t="s">
        <v>686</v>
      </c>
      <c r="U158" s="4" t="s">
        <v>687</v>
      </c>
    </row>
    <row r="159" spans="1:21" s="4" customFormat="1" x14ac:dyDescent="0.35">
      <c r="A159" s="4" t="s">
        <v>1000</v>
      </c>
      <c r="B159" s="4" t="s">
        <v>23</v>
      </c>
      <c r="C159" s="4" t="s">
        <v>152</v>
      </c>
      <c r="D159" s="4" t="s">
        <v>1001</v>
      </c>
      <c r="E159" s="4" t="s">
        <v>662</v>
      </c>
      <c r="J159" s="4" t="s">
        <v>1938</v>
      </c>
      <c r="L159" s="4" t="s">
        <v>32</v>
      </c>
      <c r="M159" s="4" t="s">
        <v>33</v>
      </c>
      <c r="N159" s="4" t="s">
        <v>34</v>
      </c>
      <c r="O159" s="4" t="s">
        <v>239</v>
      </c>
      <c r="P159" s="4" t="s">
        <v>1002</v>
      </c>
      <c r="Q159" s="4" t="s">
        <v>1003</v>
      </c>
      <c r="R159" s="4" t="s">
        <v>662</v>
      </c>
      <c r="S159" s="4" t="s">
        <v>667</v>
      </c>
      <c r="T159" s="4" t="s">
        <v>686</v>
      </c>
      <c r="U159" s="4" t="s">
        <v>687</v>
      </c>
    </row>
    <row r="160" spans="1:21" s="4" customFormat="1" x14ac:dyDescent="0.35">
      <c r="A160" s="4" t="s">
        <v>1004</v>
      </c>
      <c r="B160" s="4" t="s">
        <v>23</v>
      </c>
      <c r="C160" s="4" t="s">
        <v>24</v>
      </c>
      <c r="D160" s="4" t="s">
        <v>1005</v>
      </c>
      <c r="E160" s="4" t="s">
        <v>662</v>
      </c>
      <c r="F160" s="4" t="s">
        <v>1006</v>
      </c>
      <c r="G160" s="4" t="s">
        <v>1007</v>
      </c>
      <c r="J160" s="4" t="s">
        <v>1938</v>
      </c>
      <c r="L160" s="4" t="s">
        <v>32</v>
      </c>
      <c r="M160" s="4" t="s">
        <v>33</v>
      </c>
      <c r="N160" s="4" t="s">
        <v>34</v>
      </c>
      <c r="O160" s="4" t="s">
        <v>239</v>
      </c>
      <c r="P160" s="4" t="s">
        <v>1008</v>
      </c>
      <c r="Q160" s="4" t="s">
        <v>1009</v>
      </c>
      <c r="R160" s="4" t="s">
        <v>662</v>
      </c>
      <c r="S160" s="4" t="s">
        <v>667</v>
      </c>
      <c r="T160" s="4" t="s">
        <v>686</v>
      </c>
      <c r="U160" s="4" t="s">
        <v>687</v>
      </c>
    </row>
    <row r="161" spans="1:21" s="4" customFormat="1" x14ac:dyDescent="0.35">
      <c r="A161" s="4" t="s">
        <v>1010</v>
      </c>
      <c r="B161" s="4" t="s">
        <v>23</v>
      </c>
      <c r="C161" s="4" t="s">
        <v>24</v>
      </c>
      <c r="D161" s="4" t="s">
        <v>1011</v>
      </c>
      <c r="E161" s="4" t="s">
        <v>662</v>
      </c>
      <c r="F161" s="4" t="s">
        <v>1012</v>
      </c>
      <c r="G161" s="4" t="s">
        <v>1013</v>
      </c>
      <c r="J161" s="4" t="s">
        <v>1938</v>
      </c>
      <c r="L161" s="4" t="s">
        <v>32</v>
      </c>
      <c r="M161" s="4" t="s">
        <v>33</v>
      </c>
      <c r="N161" s="4" t="s">
        <v>34</v>
      </c>
      <c r="O161" s="4" t="s">
        <v>239</v>
      </c>
      <c r="P161" s="4" t="s">
        <v>1014</v>
      </c>
      <c r="Q161" s="4" t="s">
        <v>1015</v>
      </c>
      <c r="R161" s="4" t="s">
        <v>662</v>
      </c>
      <c r="S161" s="4" t="s">
        <v>667</v>
      </c>
      <c r="T161" s="4" t="s">
        <v>686</v>
      </c>
      <c r="U161" s="4" t="s">
        <v>687</v>
      </c>
    </row>
    <row r="162" spans="1:21" s="4" customFormat="1" x14ac:dyDescent="0.35">
      <c r="A162" s="4" t="s">
        <v>1016</v>
      </c>
      <c r="B162" s="4" t="s">
        <v>117</v>
      </c>
      <c r="C162" s="4" t="s">
        <v>209</v>
      </c>
      <c r="D162" s="4" t="s">
        <v>1017</v>
      </c>
      <c r="E162" s="4" t="s">
        <v>662</v>
      </c>
      <c r="F162" s="4" t="s">
        <v>1018</v>
      </c>
      <c r="G162" s="4" t="s">
        <v>1019</v>
      </c>
      <c r="J162" s="4" t="s">
        <v>1938</v>
      </c>
      <c r="L162" s="4" t="s">
        <v>32</v>
      </c>
      <c r="M162" s="4" t="s">
        <v>33</v>
      </c>
      <c r="N162" s="4" t="s">
        <v>34</v>
      </c>
      <c r="O162" s="4" t="s">
        <v>239</v>
      </c>
      <c r="P162" s="4" t="s">
        <v>1020</v>
      </c>
      <c r="Q162" s="4" t="s">
        <v>1021</v>
      </c>
      <c r="R162" s="4" t="s">
        <v>662</v>
      </c>
      <c r="S162" s="4" t="s">
        <v>667</v>
      </c>
      <c r="T162" s="4" t="s">
        <v>694</v>
      </c>
      <c r="U162" s="4" t="s">
        <v>695</v>
      </c>
    </row>
    <row r="163" spans="1:21" s="4" customFormat="1" x14ac:dyDescent="0.35">
      <c r="A163" s="4" t="s">
        <v>1022</v>
      </c>
      <c r="B163" s="4" t="s">
        <v>117</v>
      </c>
      <c r="C163" s="4" t="s">
        <v>209</v>
      </c>
      <c r="D163" s="4" t="s">
        <v>1023</v>
      </c>
      <c r="E163" s="4" t="s">
        <v>662</v>
      </c>
      <c r="F163" s="4" t="s">
        <v>1024</v>
      </c>
      <c r="G163" s="4" t="s">
        <v>1025</v>
      </c>
      <c r="J163" s="4" t="s">
        <v>1938</v>
      </c>
      <c r="L163" s="4" t="s">
        <v>32</v>
      </c>
      <c r="M163" s="4" t="s">
        <v>33</v>
      </c>
      <c r="N163" s="4" t="s">
        <v>657</v>
      </c>
      <c r="O163" s="4" t="s">
        <v>239</v>
      </c>
      <c r="P163" s="4" t="s">
        <v>1026</v>
      </c>
      <c r="Q163" s="4" t="s">
        <v>1027</v>
      </c>
      <c r="R163" s="4" t="s">
        <v>662</v>
      </c>
      <c r="S163" s="4" t="s">
        <v>667</v>
      </c>
      <c r="T163" s="4" t="s">
        <v>694</v>
      </c>
      <c r="U163" s="4" t="s">
        <v>695</v>
      </c>
    </row>
    <row r="164" spans="1:21" s="4" customFormat="1" x14ac:dyDescent="0.35">
      <c r="A164" s="4" t="s">
        <v>1028</v>
      </c>
      <c r="B164" s="4" t="s">
        <v>117</v>
      </c>
      <c r="C164" s="4" t="s">
        <v>209</v>
      </c>
      <c r="D164" s="4" t="s">
        <v>1029</v>
      </c>
      <c r="E164" s="4" t="s">
        <v>662</v>
      </c>
      <c r="F164" s="4" t="s">
        <v>1030</v>
      </c>
      <c r="J164" s="4" t="s">
        <v>1938</v>
      </c>
      <c r="L164" s="4" t="s">
        <v>32</v>
      </c>
      <c r="M164" s="4" t="s">
        <v>33</v>
      </c>
      <c r="N164" s="4" t="s">
        <v>657</v>
      </c>
      <c r="O164" s="4" t="s">
        <v>239</v>
      </c>
      <c r="P164" s="4" t="s">
        <v>1031</v>
      </c>
      <c r="Q164" s="4" t="s">
        <v>1032</v>
      </c>
      <c r="R164" s="4" t="s">
        <v>662</v>
      </c>
      <c r="S164" s="4" t="s">
        <v>667</v>
      </c>
      <c r="T164" s="4" t="s">
        <v>694</v>
      </c>
      <c r="U164" s="4" t="s">
        <v>695</v>
      </c>
    </row>
    <row r="165" spans="1:21" s="4" customFormat="1" x14ac:dyDescent="0.35">
      <c r="A165" s="4" t="s">
        <v>1033</v>
      </c>
      <c r="B165" s="4" t="s">
        <v>117</v>
      </c>
      <c r="C165" s="4" t="s">
        <v>209</v>
      </c>
      <c r="D165" s="4" t="s">
        <v>1034</v>
      </c>
      <c r="E165" s="4" t="s">
        <v>662</v>
      </c>
      <c r="F165" s="4" t="s">
        <v>1035</v>
      </c>
      <c r="J165" s="4" t="s">
        <v>1938</v>
      </c>
      <c r="L165" s="4" t="s">
        <v>32</v>
      </c>
      <c r="M165" s="4" t="s">
        <v>33</v>
      </c>
      <c r="N165" s="4" t="s">
        <v>657</v>
      </c>
      <c r="O165" s="4" t="s">
        <v>239</v>
      </c>
      <c r="P165" s="4" t="s">
        <v>1036</v>
      </c>
      <c r="Q165" s="4" t="s">
        <v>1037</v>
      </c>
      <c r="R165" s="4" t="s">
        <v>662</v>
      </c>
      <c r="S165" s="4" t="s">
        <v>667</v>
      </c>
      <c r="T165" s="4" t="s">
        <v>694</v>
      </c>
      <c r="U165" s="4" t="s">
        <v>695</v>
      </c>
    </row>
    <row r="166" spans="1:21" s="4" customFormat="1" x14ac:dyDescent="0.35">
      <c r="A166" s="4" t="s">
        <v>1042</v>
      </c>
      <c r="B166" s="4" t="s">
        <v>117</v>
      </c>
      <c r="C166" s="4" t="s">
        <v>209</v>
      </c>
      <c r="D166" s="4" t="s">
        <v>1038</v>
      </c>
      <c r="E166" s="4" t="s">
        <v>662</v>
      </c>
      <c r="F166" s="4" t="s">
        <v>1039</v>
      </c>
      <c r="J166" s="4" t="s">
        <v>1938</v>
      </c>
      <c r="L166" s="4" t="s">
        <v>32</v>
      </c>
      <c r="M166" s="4" t="s">
        <v>33</v>
      </c>
      <c r="N166" s="4" t="s">
        <v>657</v>
      </c>
      <c r="O166" s="4" t="s">
        <v>239</v>
      </c>
      <c r="P166" s="4" t="s">
        <v>1040</v>
      </c>
      <c r="Q166" s="4" t="s">
        <v>1041</v>
      </c>
      <c r="R166" s="4" t="s">
        <v>662</v>
      </c>
      <c r="S166" s="4" t="s">
        <v>667</v>
      </c>
      <c r="T166" s="4" t="s">
        <v>694</v>
      </c>
      <c r="U166" s="4" t="s">
        <v>695</v>
      </c>
    </row>
    <row r="167" spans="1:21" s="4" customFormat="1" x14ac:dyDescent="0.35">
      <c r="A167" s="4" t="s">
        <v>1043</v>
      </c>
      <c r="B167" s="4" t="s">
        <v>23</v>
      </c>
      <c r="C167" s="4" t="s">
        <v>24</v>
      </c>
      <c r="D167" s="4" t="s">
        <v>1044</v>
      </c>
      <c r="E167" s="4" t="s">
        <v>790</v>
      </c>
      <c r="G167" s="4" t="s">
        <v>1045</v>
      </c>
      <c r="H167" s="4" t="s">
        <v>1046</v>
      </c>
      <c r="J167" s="4" t="s">
        <v>64</v>
      </c>
      <c r="K167" s="4" t="s">
        <v>2228</v>
      </c>
      <c r="L167" s="4" t="s">
        <v>32</v>
      </c>
      <c r="M167" s="4" t="s">
        <v>33</v>
      </c>
      <c r="N167" s="4" t="s">
        <v>34</v>
      </c>
      <c r="O167" s="4" t="s">
        <v>35</v>
      </c>
      <c r="P167" s="4" t="s">
        <v>1047</v>
      </c>
      <c r="Q167" s="4" t="s">
        <v>1048</v>
      </c>
      <c r="R167" s="4" t="s">
        <v>790</v>
      </c>
      <c r="S167" s="4" t="s">
        <v>791</v>
      </c>
      <c r="T167" s="4" t="s">
        <v>790</v>
      </c>
      <c r="U167" s="4" t="s">
        <v>1049</v>
      </c>
    </row>
    <row r="168" spans="1:21" s="4" customFormat="1" x14ac:dyDescent="0.35">
      <c r="A168" s="4" t="s">
        <v>1054</v>
      </c>
      <c r="B168" s="4" t="s">
        <v>23</v>
      </c>
      <c r="C168" s="4" t="s">
        <v>118</v>
      </c>
      <c r="D168" s="4" t="s">
        <v>1044</v>
      </c>
      <c r="E168" s="4" t="s">
        <v>790</v>
      </c>
      <c r="G168" s="4" t="s">
        <v>1045</v>
      </c>
      <c r="H168" s="4" t="s">
        <v>1050</v>
      </c>
      <c r="J168" s="4" t="s">
        <v>1051</v>
      </c>
      <c r="K168" s="4" t="s">
        <v>31</v>
      </c>
      <c r="L168" s="4" t="s">
        <v>32</v>
      </c>
      <c r="M168" s="4" t="s">
        <v>33</v>
      </c>
      <c r="N168" s="4" t="s">
        <v>34</v>
      </c>
      <c r="O168" s="4" t="s">
        <v>35</v>
      </c>
      <c r="P168" s="4" t="s">
        <v>1052</v>
      </c>
      <c r="Q168" s="4" t="s">
        <v>1053</v>
      </c>
      <c r="R168" s="4" t="s">
        <v>790</v>
      </c>
      <c r="S168" s="4" t="s">
        <v>791</v>
      </c>
      <c r="T168" s="4" t="s">
        <v>790</v>
      </c>
      <c r="U168" s="4" t="s">
        <v>1049</v>
      </c>
    </row>
    <row r="169" spans="1:21" s="4" customFormat="1" x14ac:dyDescent="0.35">
      <c r="A169" s="4" t="s">
        <v>1055</v>
      </c>
      <c r="B169" s="4" t="s">
        <v>23</v>
      </c>
      <c r="C169" s="4" t="s">
        <v>63</v>
      </c>
      <c r="D169" s="4" t="s">
        <v>1056</v>
      </c>
      <c r="E169" s="4" t="s">
        <v>790</v>
      </c>
      <c r="G169" s="4" t="s">
        <v>1057</v>
      </c>
      <c r="H169" s="4" t="s">
        <v>1058</v>
      </c>
      <c r="J169" s="4" t="s">
        <v>64</v>
      </c>
      <c r="K169" s="4" t="s">
        <v>2228</v>
      </c>
      <c r="L169" s="4" t="s">
        <v>32</v>
      </c>
      <c r="M169" s="4" t="s">
        <v>33</v>
      </c>
      <c r="N169" s="4" t="s">
        <v>34</v>
      </c>
      <c r="O169" s="4" t="s">
        <v>35</v>
      </c>
      <c r="P169" s="4" t="s">
        <v>1047</v>
      </c>
      <c r="Q169" s="4" t="s">
        <v>1048</v>
      </c>
      <c r="R169" s="4" t="s">
        <v>790</v>
      </c>
      <c r="S169" s="4" t="s">
        <v>791</v>
      </c>
      <c r="T169" s="4" t="s">
        <v>790</v>
      </c>
      <c r="U169" s="4" t="s">
        <v>1049</v>
      </c>
    </row>
    <row r="170" spans="1:21" s="4" customFormat="1" x14ac:dyDescent="0.35">
      <c r="A170" s="4" t="s">
        <v>1066</v>
      </c>
      <c r="B170" s="4" t="s">
        <v>23</v>
      </c>
      <c r="C170" s="4" t="s">
        <v>24</v>
      </c>
      <c r="D170" s="4" t="s">
        <v>1059</v>
      </c>
      <c r="E170" s="4" t="s">
        <v>790</v>
      </c>
      <c r="G170" s="4" t="s">
        <v>1060</v>
      </c>
      <c r="H170" s="4" t="s">
        <v>1061</v>
      </c>
      <c r="J170" s="4" t="s">
        <v>64</v>
      </c>
      <c r="K170" s="4" t="s">
        <v>2228</v>
      </c>
      <c r="L170" s="4" t="s">
        <v>32</v>
      </c>
      <c r="M170" s="4" t="s">
        <v>33</v>
      </c>
      <c r="N170" s="4" t="s">
        <v>34</v>
      </c>
      <c r="O170" s="4" t="s">
        <v>35</v>
      </c>
      <c r="P170" s="4" t="s">
        <v>1062</v>
      </c>
      <c r="Q170" s="4" t="s">
        <v>1063</v>
      </c>
      <c r="R170" s="4" t="s">
        <v>790</v>
      </c>
      <c r="S170" s="4" t="s">
        <v>791</v>
      </c>
      <c r="T170" s="4" t="s">
        <v>1064</v>
      </c>
      <c r="U170" s="4" t="s">
        <v>1065</v>
      </c>
    </row>
    <row r="171" spans="1:21" s="4" customFormat="1" x14ac:dyDescent="0.35">
      <c r="A171" s="4" t="s">
        <v>1071</v>
      </c>
      <c r="B171" s="4" t="s">
        <v>23</v>
      </c>
      <c r="C171" s="4" t="s">
        <v>63</v>
      </c>
      <c r="D171" s="4" t="s">
        <v>1067</v>
      </c>
      <c r="E171" s="4" t="s">
        <v>790</v>
      </c>
      <c r="G171" s="4" t="s">
        <v>1068</v>
      </c>
      <c r="H171" s="4" t="s">
        <v>1069</v>
      </c>
      <c r="J171" s="4" t="s">
        <v>1070</v>
      </c>
      <c r="K171" s="4" t="s">
        <v>2228</v>
      </c>
      <c r="L171" s="4" t="s">
        <v>32</v>
      </c>
      <c r="M171" s="4" t="s">
        <v>33</v>
      </c>
      <c r="N171" s="4" t="s">
        <v>34</v>
      </c>
      <c r="O171" s="4" t="s">
        <v>35</v>
      </c>
      <c r="P171" s="4" t="s">
        <v>1062</v>
      </c>
      <c r="Q171" s="4" t="s">
        <v>1063</v>
      </c>
      <c r="R171" s="4" t="s">
        <v>790</v>
      </c>
      <c r="S171" s="4" t="s">
        <v>791</v>
      </c>
      <c r="T171" s="4" t="s">
        <v>1064</v>
      </c>
      <c r="U171" s="4" t="s">
        <v>1065</v>
      </c>
    </row>
    <row r="172" spans="1:21" s="4" customFormat="1" x14ac:dyDescent="0.35">
      <c r="A172" s="4" t="s">
        <v>1072</v>
      </c>
      <c r="B172" s="4" t="s">
        <v>23</v>
      </c>
      <c r="C172" s="4" t="s">
        <v>24</v>
      </c>
      <c r="D172" s="4" t="s">
        <v>1073</v>
      </c>
      <c r="E172" s="4" t="s">
        <v>790</v>
      </c>
      <c r="F172" s="4" t="s">
        <v>1074</v>
      </c>
      <c r="H172" s="4" t="s">
        <v>1075</v>
      </c>
      <c r="J172" s="4" t="s">
        <v>64</v>
      </c>
      <c r="K172" s="4" t="s">
        <v>2228</v>
      </c>
      <c r="L172" s="4" t="s">
        <v>32</v>
      </c>
      <c r="M172" s="4" t="s">
        <v>33</v>
      </c>
      <c r="N172" s="4" t="s">
        <v>34</v>
      </c>
      <c r="O172" s="4" t="s">
        <v>35</v>
      </c>
      <c r="P172" s="4" t="s">
        <v>1076</v>
      </c>
      <c r="Q172" s="4" t="s">
        <v>1077</v>
      </c>
      <c r="R172" s="4" t="s">
        <v>790</v>
      </c>
      <c r="S172" s="4" t="s">
        <v>791</v>
      </c>
      <c r="T172" s="4" t="s">
        <v>792</v>
      </c>
      <c r="U172" s="4" t="s">
        <v>793</v>
      </c>
    </row>
    <row r="173" spans="1:21" s="4" customFormat="1" x14ac:dyDescent="0.35">
      <c r="A173" s="4" t="s">
        <v>1078</v>
      </c>
      <c r="B173" s="4" t="s">
        <v>23</v>
      </c>
      <c r="C173" s="4" t="s">
        <v>63</v>
      </c>
      <c r="D173" s="4" t="s">
        <v>1073</v>
      </c>
      <c r="E173" s="4" t="s">
        <v>790</v>
      </c>
      <c r="F173" s="4" t="s">
        <v>1074</v>
      </c>
      <c r="G173" s="4" t="s">
        <v>1079</v>
      </c>
      <c r="H173" s="4" t="s">
        <v>1080</v>
      </c>
      <c r="J173" s="4" t="s">
        <v>1070</v>
      </c>
      <c r="K173" s="4" t="s">
        <v>2228</v>
      </c>
      <c r="L173" s="4" t="s">
        <v>32</v>
      </c>
      <c r="M173" s="4" t="s">
        <v>33</v>
      </c>
      <c r="N173" s="4" t="s">
        <v>34</v>
      </c>
      <c r="O173" s="4" t="s">
        <v>35</v>
      </c>
      <c r="P173" s="4" t="s">
        <v>1076</v>
      </c>
      <c r="Q173" s="4" t="s">
        <v>1077</v>
      </c>
      <c r="R173" s="4" t="s">
        <v>790</v>
      </c>
      <c r="S173" s="4" t="s">
        <v>791</v>
      </c>
      <c r="T173" s="4" t="s">
        <v>792</v>
      </c>
      <c r="U173" s="4" t="s">
        <v>793</v>
      </c>
    </row>
    <row r="174" spans="1:21" s="4" customFormat="1" x14ac:dyDescent="0.35">
      <c r="A174" s="4" t="s">
        <v>1081</v>
      </c>
      <c r="B174" s="4" t="s">
        <v>23</v>
      </c>
      <c r="C174" s="4" t="s">
        <v>63</v>
      </c>
      <c r="D174" s="4" t="s">
        <v>1082</v>
      </c>
      <c r="E174" s="4" t="s">
        <v>790</v>
      </c>
      <c r="G174" s="4" t="s">
        <v>1083</v>
      </c>
      <c r="H174" s="4" t="s">
        <v>1084</v>
      </c>
      <c r="J174" s="4" t="s">
        <v>64</v>
      </c>
      <c r="K174" s="4" t="s">
        <v>2228</v>
      </c>
      <c r="L174" s="4" t="s">
        <v>32</v>
      </c>
      <c r="M174" s="4" t="s">
        <v>33</v>
      </c>
      <c r="N174" s="4" t="s">
        <v>34</v>
      </c>
      <c r="O174" s="4" t="s">
        <v>35</v>
      </c>
      <c r="P174" s="4" t="s">
        <v>1085</v>
      </c>
      <c r="Q174" s="4" t="s">
        <v>1086</v>
      </c>
      <c r="R174" s="4" t="s">
        <v>790</v>
      </c>
      <c r="S174" s="4" t="s">
        <v>791</v>
      </c>
      <c r="T174" s="4" t="s">
        <v>1087</v>
      </c>
      <c r="U174" s="4" t="s">
        <v>1088</v>
      </c>
    </row>
    <row r="175" spans="1:21" s="4" customFormat="1" x14ac:dyDescent="0.35">
      <c r="A175" s="4" t="s">
        <v>1089</v>
      </c>
      <c r="B175" s="4" t="s">
        <v>23</v>
      </c>
      <c r="C175" s="4" t="s">
        <v>24</v>
      </c>
      <c r="D175" s="4" t="s">
        <v>1090</v>
      </c>
      <c r="E175" s="4" t="s">
        <v>790</v>
      </c>
      <c r="H175" s="4" t="s">
        <v>1091</v>
      </c>
      <c r="J175" s="4" t="s">
        <v>64</v>
      </c>
      <c r="K175" s="4" t="s">
        <v>2228</v>
      </c>
      <c r="L175" s="4" t="s">
        <v>32</v>
      </c>
      <c r="M175" s="4" t="s">
        <v>33</v>
      </c>
      <c r="N175" s="4" t="s">
        <v>34</v>
      </c>
      <c r="O175" s="4" t="s">
        <v>35</v>
      </c>
      <c r="P175" s="4" t="s">
        <v>1092</v>
      </c>
      <c r="Q175" s="4" t="s">
        <v>1093</v>
      </c>
      <c r="R175" s="4" t="s">
        <v>790</v>
      </c>
      <c r="S175" s="4" t="s">
        <v>791</v>
      </c>
      <c r="T175" s="4" t="s">
        <v>1094</v>
      </c>
      <c r="U175" s="4" t="s">
        <v>1095</v>
      </c>
    </row>
    <row r="176" spans="1:21" s="4" customFormat="1" x14ac:dyDescent="0.35">
      <c r="A176" s="4" t="s">
        <v>1096</v>
      </c>
      <c r="B176" s="4" t="s">
        <v>23</v>
      </c>
      <c r="C176" s="4" t="s">
        <v>24</v>
      </c>
      <c r="D176" s="4" t="s">
        <v>1090</v>
      </c>
      <c r="E176" s="4" t="s">
        <v>790</v>
      </c>
      <c r="H176" s="4" t="s">
        <v>1097</v>
      </c>
      <c r="J176" s="4" t="s">
        <v>64</v>
      </c>
      <c r="K176" s="4" t="s">
        <v>31</v>
      </c>
      <c r="L176" s="4" t="s">
        <v>32</v>
      </c>
      <c r="M176" s="4" t="s">
        <v>33</v>
      </c>
      <c r="N176" s="4" t="s">
        <v>34</v>
      </c>
      <c r="O176" s="4" t="s">
        <v>35</v>
      </c>
      <c r="P176" s="4" t="s">
        <v>1098</v>
      </c>
      <c r="Q176" s="4" t="s">
        <v>1099</v>
      </c>
      <c r="R176" s="4" t="s">
        <v>790</v>
      </c>
      <c r="S176" s="4" t="s">
        <v>791</v>
      </c>
      <c r="T176" s="4" t="s">
        <v>1094</v>
      </c>
      <c r="U176" s="4" t="s">
        <v>1095</v>
      </c>
    </row>
    <row r="177" spans="1:21" s="4" customFormat="1" x14ac:dyDescent="0.35">
      <c r="A177" s="4" t="s">
        <v>1106</v>
      </c>
      <c r="B177" s="4" t="s">
        <v>151</v>
      </c>
      <c r="C177" s="4" t="s">
        <v>1100</v>
      </c>
      <c r="D177" s="4" t="s">
        <v>1101</v>
      </c>
      <c r="E177" s="4" t="s">
        <v>790</v>
      </c>
      <c r="G177" s="4" t="s">
        <v>1102</v>
      </c>
      <c r="H177" s="4" t="s">
        <v>1103</v>
      </c>
      <c r="J177" s="4" t="s">
        <v>916</v>
      </c>
      <c r="K177" s="4" t="s">
        <v>31</v>
      </c>
      <c r="L177" s="4" t="s">
        <v>32</v>
      </c>
      <c r="M177" s="4" t="s">
        <v>33</v>
      </c>
      <c r="N177" s="4" t="s">
        <v>34</v>
      </c>
      <c r="O177" s="4" t="s">
        <v>35</v>
      </c>
      <c r="P177" s="4" t="s">
        <v>1104</v>
      </c>
      <c r="Q177" s="4" t="s">
        <v>1105</v>
      </c>
      <c r="R177" s="4" t="s">
        <v>790</v>
      </c>
      <c r="S177" s="4" t="s">
        <v>791</v>
      </c>
      <c r="T177" s="4" t="s">
        <v>790</v>
      </c>
      <c r="U177" s="4" t="s">
        <v>1049</v>
      </c>
    </row>
    <row r="178" spans="1:21" s="4" customFormat="1" x14ac:dyDescent="0.35">
      <c r="A178" s="4" t="s">
        <v>1113</v>
      </c>
      <c r="B178" s="4" t="s">
        <v>151</v>
      </c>
      <c r="C178" s="4" t="s">
        <v>1107</v>
      </c>
      <c r="D178" s="4" t="s">
        <v>1108</v>
      </c>
      <c r="E178" s="4" t="s">
        <v>790</v>
      </c>
      <c r="G178" s="4" t="s">
        <v>1109</v>
      </c>
      <c r="H178" s="4" t="s">
        <v>1110</v>
      </c>
      <c r="J178" s="4" t="s">
        <v>927</v>
      </c>
      <c r="K178" s="4" t="s">
        <v>31</v>
      </c>
      <c r="L178" s="4" t="s">
        <v>32</v>
      </c>
      <c r="M178" s="4" t="s">
        <v>33</v>
      </c>
      <c r="N178" s="4" t="s">
        <v>34</v>
      </c>
      <c r="O178" s="4" t="s">
        <v>35</v>
      </c>
      <c r="P178" s="4" t="s">
        <v>1111</v>
      </c>
      <c r="Q178" s="4" t="s">
        <v>1112</v>
      </c>
      <c r="R178" s="4" t="s">
        <v>790</v>
      </c>
      <c r="S178" s="4" t="s">
        <v>791</v>
      </c>
      <c r="T178" s="4" t="s">
        <v>790</v>
      </c>
      <c r="U178" s="4" t="s">
        <v>1049</v>
      </c>
    </row>
    <row r="179" spans="1:21" s="4" customFormat="1" x14ac:dyDescent="0.35">
      <c r="A179" s="4" t="s">
        <v>1114</v>
      </c>
      <c r="B179" s="4" t="s">
        <v>23</v>
      </c>
      <c r="C179" s="4" t="s">
        <v>1107</v>
      </c>
      <c r="D179" s="4" t="s">
        <v>1115</v>
      </c>
      <c r="E179" s="4" t="s">
        <v>790</v>
      </c>
      <c r="H179" s="4" t="s">
        <v>1116</v>
      </c>
      <c r="J179" s="4" t="s">
        <v>927</v>
      </c>
      <c r="K179" s="4" t="s">
        <v>31</v>
      </c>
      <c r="L179" s="4" t="s">
        <v>32</v>
      </c>
      <c r="M179" s="4" t="s">
        <v>33</v>
      </c>
      <c r="N179" s="4" t="s">
        <v>34</v>
      </c>
      <c r="O179" s="4" t="s">
        <v>35</v>
      </c>
      <c r="P179" s="4" t="s">
        <v>1111</v>
      </c>
      <c r="Q179" s="4" t="s">
        <v>1112</v>
      </c>
      <c r="R179" s="4" t="s">
        <v>790</v>
      </c>
      <c r="S179" s="4" t="s">
        <v>791</v>
      </c>
      <c r="T179" s="4" t="s">
        <v>790</v>
      </c>
      <c r="U179" s="4" t="s">
        <v>1049</v>
      </c>
    </row>
    <row r="180" spans="1:21" s="4" customFormat="1" x14ac:dyDescent="0.35">
      <c r="A180" s="4" t="s">
        <v>1117</v>
      </c>
      <c r="B180" s="4" t="s">
        <v>23</v>
      </c>
      <c r="C180" s="4" t="s">
        <v>24</v>
      </c>
      <c r="D180" s="4" t="s">
        <v>1118</v>
      </c>
      <c r="E180" s="4" t="s">
        <v>790</v>
      </c>
      <c r="H180" s="4" t="s">
        <v>1119</v>
      </c>
      <c r="J180" s="4" t="s">
        <v>964</v>
      </c>
      <c r="K180" s="4" t="s">
        <v>2235</v>
      </c>
      <c r="L180" s="4" t="s">
        <v>32</v>
      </c>
      <c r="M180" s="4" t="s">
        <v>33</v>
      </c>
      <c r="N180" s="4" t="s">
        <v>34</v>
      </c>
      <c r="O180" s="4" t="s">
        <v>35</v>
      </c>
      <c r="P180" s="4" t="s">
        <v>1120</v>
      </c>
      <c r="Q180" s="4" t="s">
        <v>1121</v>
      </c>
      <c r="R180" s="4" t="s">
        <v>790</v>
      </c>
      <c r="S180" s="4" t="s">
        <v>791</v>
      </c>
      <c r="T180" s="4" t="s">
        <v>1064</v>
      </c>
      <c r="U180" s="4" t="s">
        <v>1065</v>
      </c>
    </row>
    <row r="181" spans="1:21" s="4" customFormat="1" x14ac:dyDescent="0.35">
      <c r="A181" s="4" t="s">
        <v>1122</v>
      </c>
      <c r="B181" s="4" t="s">
        <v>117</v>
      </c>
      <c r="C181" s="4" t="s">
        <v>24</v>
      </c>
      <c r="D181" s="4" t="s">
        <v>1123</v>
      </c>
      <c r="E181" s="4" t="s">
        <v>790</v>
      </c>
      <c r="H181" s="4" t="s">
        <v>1124</v>
      </c>
      <c r="J181" s="4" t="s">
        <v>247</v>
      </c>
      <c r="K181" s="4" t="s">
        <v>2235</v>
      </c>
      <c r="L181" s="4" t="s">
        <v>32</v>
      </c>
      <c r="M181" s="4" t="s">
        <v>33</v>
      </c>
      <c r="N181" s="4" t="s">
        <v>34</v>
      </c>
      <c r="O181" s="4" t="s">
        <v>239</v>
      </c>
      <c r="P181" s="4" t="s">
        <v>1120</v>
      </c>
      <c r="Q181" s="4" t="s">
        <v>1121</v>
      </c>
      <c r="R181" s="4" t="s">
        <v>790</v>
      </c>
      <c r="S181" s="4" t="s">
        <v>791</v>
      </c>
      <c r="T181" s="4" t="s">
        <v>1064</v>
      </c>
      <c r="U181" s="4" t="s">
        <v>1065</v>
      </c>
    </row>
    <row r="182" spans="1:21" s="4" customFormat="1" x14ac:dyDescent="0.35">
      <c r="A182" s="4" t="s">
        <v>1130</v>
      </c>
      <c r="B182" s="4" t="s">
        <v>23</v>
      </c>
      <c r="C182" s="4" t="s">
        <v>24</v>
      </c>
      <c r="D182" s="4" t="s">
        <v>1125</v>
      </c>
      <c r="E182" s="4" t="s">
        <v>790</v>
      </c>
      <c r="H182" s="4" t="s">
        <v>1126</v>
      </c>
      <c r="J182" s="4" t="s">
        <v>1127</v>
      </c>
      <c r="L182" s="4" t="s">
        <v>32</v>
      </c>
      <c r="M182" s="4" t="s">
        <v>33</v>
      </c>
      <c r="N182" s="4" t="s">
        <v>34</v>
      </c>
      <c r="O182" s="4" t="s">
        <v>239</v>
      </c>
      <c r="P182" s="4" t="s">
        <v>1128</v>
      </c>
      <c r="Q182" s="4" t="s">
        <v>1129</v>
      </c>
      <c r="R182" s="4" t="s">
        <v>790</v>
      </c>
      <c r="S182" s="4" t="s">
        <v>791</v>
      </c>
      <c r="T182" s="4" t="s">
        <v>1064</v>
      </c>
      <c r="U182" s="4" t="s">
        <v>1065</v>
      </c>
    </row>
    <row r="183" spans="1:21" s="4" customFormat="1" x14ac:dyDescent="0.35">
      <c r="A183" s="4" t="s">
        <v>1135</v>
      </c>
      <c r="B183" s="4" t="s">
        <v>23</v>
      </c>
      <c r="C183" s="4" t="s">
        <v>24</v>
      </c>
      <c r="D183" s="4" t="s">
        <v>1131</v>
      </c>
      <c r="E183" s="4" t="s">
        <v>790</v>
      </c>
      <c r="H183" s="4" t="s">
        <v>1132</v>
      </c>
      <c r="J183" s="4" t="s">
        <v>906</v>
      </c>
      <c r="K183" s="4" t="s">
        <v>2235</v>
      </c>
      <c r="L183" s="4" t="s">
        <v>32</v>
      </c>
      <c r="M183" s="4" t="s">
        <v>33</v>
      </c>
      <c r="N183" s="4" t="s">
        <v>34</v>
      </c>
      <c r="O183" s="4" t="s">
        <v>239</v>
      </c>
      <c r="P183" s="4" t="s">
        <v>1133</v>
      </c>
      <c r="Q183" s="4" t="s">
        <v>1134</v>
      </c>
      <c r="R183" s="4" t="s">
        <v>790</v>
      </c>
      <c r="S183" s="4" t="s">
        <v>791</v>
      </c>
      <c r="T183" s="4" t="s">
        <v>1064</v>
      </c>
      <c r="U183" s="4" t="s">
        <v>1065</v>
      </c>
    </row>
    <row r="184" spans="1:21" s="4" customFormat="1" x14ac:dyDescent="0.35">
      <c r="A184" s="4" t="s">
        <v>1140</v>
      </c>
      <c r="B184" s="4" t="s">
        <v>117</v>
      </c>
      <c r="C184" s="4" t="s">
        <v>24</v>
      </c>
      <c r="D184" s="4" t="s">
        <v>1136</v>
      </c>
      <c r="E184" s="4" t="s">
        <v>790</v>
      </c>
      <c r="H184" s="4" t="s">
        <v>1137</v>
      </c>
      <c r="J184" s="4" t="s">
        <v>906</v>
      </c>
      <c r="K184" s="4" t="s">
        <v>2235</v>
      </c>
      <c r="L184" s="4" t="s">
        <v>32</v>
      </c>
      <c r="M184" s="4" t="s">
        <v>33</v>
      </c>
      <c r="N184" s="4" t="s">
        <v>34</v>
      </c>
      <c r="O184" s="4" t="s">
        <v>239</v>
      </c>
      <c r="P184" s="4" t="s">
        <v>1138</v>
      </c>
      <c r="Q184" s="4" t="s">
        <v>1139</v>
      </c>
      <c r="R184" s="4" t="s">
        <v>790</v>
      </c>
      <c r="S184" s="4" t="s">
        <v>791</v>
      </c>
      <c r="T184" s="4" t="s">
        <v>1064</v>
      </c>
      <c r="U184" s="4" t="s">
        <v>1065</v>
      </c>
    </row>
    <row r="185" spans="1:21" s="4" customFormat="1" x14ac:dyDescent="0.35">
      <c r="A185" s="4" t="s">
        <v>1145</v>
      </c>
      <c r="B185" s="4" t="s">
        <v>23</v>
      </c>
      <c r="C185" s="4" t="s">
        <v>118</v>
      </c>
      <c r="D185" s="4" t="s">
        <v>1141</v>
      </c>
      <c r="E185" s="4" t="s">
        <v>790</v>
      </c>
      <c r="H185" s="4" t="s">
        <v>1142</v>
      </c>
      <c r="J185" s="4" t="s">
        <v>906</v>
      </c>
      <c r="K185" s="4" t="s">
        <v>2236</v>
      </c>
      <c r="L185" s="4" t="s">
        <v>32</v>
      </c>
      <c r="M185" s="4" t="s">
        <v>33</v>
      </c>
      <c r="N185" s="4" t="s">
        <v>34</v>
      </c>
      <c r="O185" s="4" t="s">
        <v>239</v>
      </c>
      <c r="P185" s="4" t="s">
        <v>1143</v>
      </c>
      <c r="Q185" s="4" t="s">
        <v>1144</v>
      </c>
      <c r="R185" s="4" t="s">
        <v>790</v>
      </c>
      <c r="S185" s="4" t="s">
        <v>791</v>
      </c>
      <c r="T185" s="4" t="s">
        <v>1064</v>
      </c>
      <c r="U185" s="4" t="s">
        <v>1065</v>
      </c>
    </row>
    <row r="186" spans="1:21" s="4" customFormat="1" x14ac:dyDescent="0.35">
      <c r="A186" s="4" t="s">
        <v>1146</v>
      </c>
      <c r="B186" s="4" t="s">
        <v>23</v>
      </c>
      <c r="C186" s="4" t="s">
        <v>24</v>
      </c>
      <c r="D186" s="4" t="s">
        <v>1147</v>
      </c>
      <c r="E186" s="4" t="s">
        <v>790</v>
      </c>
      <c r="H186" s="4" t="s">
        <v>1148</v>
      </c>
      <c r="J186" s="4" t="s">
        <v>64</v>
      </c>
      <c r="K186" s="4" t="s">
        <v>2237</v>
      </c>
      <c r="L186" s="4" t="s">
        <v>32</v>
      </c>
      <c r="M186" s="4" t="s">
        <v>33</v>
      </c>
      <c r="N186" s="4" t="s">
        <v>34</v>
      </c>
      <c r="O186" s="4" t="s">
        <v>239</v>
      </c>
      <c r="P186" s="4" t="s">
        <v>1149</v>
      </c>
      <c r="Q186" s="4" t="s">
        <v>1150</v>
      </c>
      <c r="R186" s="4" t="s">
        <v>790</v>
      </c>
      <c r="S186" s="4" t="s">
        <v>791</v>
      </c>
      <c r="T186" s="4" t="s">
        <v>1064</v>
      </c>
      <c r="U186" s="4" t="s">
        <v>1065</v>
      </c>
    </row>
    <row r="187" spans="1:21" s="4" customFormat="1" x14ac:dyDescent="0.35">
      <c r="A187" s="4" t="s">
        <v>1155</v>
      </c>
      <c r="B187" s="4" t="s">
        <v>117</v>
      </c>
      <c r="C187" s="4" t="s">
        <v>118</v>
      </c>
      <c r="D187" s="4" t="s">
        <v>1151</v>
      </c>
      <c r="E187" s="4" t="s">
        <v>790</v>
      </c>
      <c r="H187" s="4" t="s">
        <v>1152</v>
      </c>
      <c r="J187" s="4" t="s">
        <v>798</v>
      </c>
      <c r="K187" s="4" t="s">
        <v>2238</v>
      </c>
      <c r="L187" s="4" t="s">
        <v>32</v>
      </c>
      <c r="M187" s="4" t="s">
        <v>33</v>
      </c>
      <c r="N187" s="4" t="s">
        <v>34</v>
      </c>
      <c r="O187" s="4" t="s">
        <v>239</v>
      </c>
      <c r="P187" s="4" t="s">
        <v>1153</v>
      </c>
      <c r="Q187" s="4" t="s">
        <v>1154</v>
      </c>
      <c r="R187" s="4" t="s">
        <v>790</v>
      </c>
      <c r="S187" s="4" t="s">
        <v>791</v>
      </c>
      <c r="T187" s="4" t="s">
        <v>790</v>
      </c>
      <c r="U187" s="4" t="s">
        <v>1049</v>
      </c>
    </row>
    <row r="188" spans="1:21" s="4" customFormat="1" x14ac:dyDescent="0.35">
      <c r="A188" s="4" t="s">
        <v>1160</v>
      </c>
      <c r="B188" s="4" t="s">
        <v>23</v>
      </c>
      <c r="C188" s="4" t="s">
        <v>24</v>
      </c>
      <c r="D188" s="4" t="s">
        <v>1156</v>
      </c>
      <c r="E188" s="4" t="s">
        <v>790</v>
      </c>
      <c r="H188" s="4" t="s">
        <v>1157</v>
      </c>
      <c r="J188" s="4" t="s">
        <v>922</v>
      </c>
      <c r="K188" s="4" t="s">
        <v>2236</v>
      </c>
      <c r="L188" s="4" t="s">
        <v>32</v>
      </c>
      <c r="M188" s="4" t="s">
        <v>33</v>
      </c>
      <c r="N188" s="4" t="s">
        <v>34</v>
      </c>
      <c r="O188" s="4" t="s">
        <v>239</v>
      </c>
      <c r="P188" s="4" t="s">
        <v>1158</v>
      </c>
      <c r="Q188" s="4" t="s">
        <v>1159</v>
      </c>
      <c r="R188" s="4" t="s">
        <v>790</v>
      </c>
      <c r="S188" s="4" t="s">
        <v>791</v>
      </c>
      <c r="T188" s="4" t="s">
        <v>790</v>
      </c>
      <c r="U188" s="4" t="s">
        <v>1049</v>
      </c>
    </row>
    <row r="189" spans="1:21" s="4" customFormat="1" x14ac:dyDescent="0.35">
      <c r="A189" s="4" t="s">
        <v>1161</v>
      </c>
      <c r="B189" s="4" t="s">
        <v>23</v>
      </c>
      <c r="C189" s="4" t="s">
        <v>1162</v>
      </c>
      <c r="D189" s="4" t="s">
        <v>1163</v>
      </c>
      <c r="E189" s="4" t="s">
        <v>790</v>
      </c>
      <c r="G189" s="4" t="s">
        <v>1164</v>
      </c>
      <c r="H189" s="4" t="s">
        <v>1165</v>
      </c>
      <c r="J189" s="4" t="s">
        <v>1166</v>
      </c>
      <c r="K189" s="4" t="s">
        <v>2235</v>
      </c>
      <c r="L189" s="4" t="s">
        <v>32</v>
      </c>
      <c r="M189" s="4" t="s">
        <v>33</v>
      </c>
      <c r="N189" s="4" t="s">
        <v>34</v>
      </c>
      <c r="O189" s="4" t="s">
        <v>239</v>
      </c>
      <c r="P189" s="4" t="s">
        <v>1167</v>
      </c>
      <c r="Q189" s="4" t="s">
        <v>1168</v>
      </c>
      <c r="R189" s="4" t="s">
        <v>790</v>
      </c>
      <c r="S189" s="4" t="s">
        <v>791</v>
      </c>
      <c r="T189" s="4" t="s">
        <v>1087</v>
      </c>
      <c r="U189" s="4" t="s">
        <v>1088</v>
      </c>
    </row>
    <row r="190" spans="1:21" s="5" customFormat="1" x14ac:dyDescent="0.35">
      <c r="A190" s="5" t="s">
        <v>1174</v>
      </c>
      <c r="B190" s="5" t="s">
        <v>117</v>
      </c>
      <c r="C190" s="5" t="s">
        <v>260</v>
      </c>
      <c r="D190" s="5" t="s">
        <v>1169</v>
      </c>
      <c r="E190" s="5" t="s">
        <v>790</v>
      </c>
      <c r="G190" s="5" t="s">
        <v>1170</v>
      </c>
      <c r="H190" s="5" t="s">
        <v>1171</v>
      </c>
      <c r="J190" s="5" t="s">
        <v>738</v>
      </c>
      <c r="K190" s="5" t="s">
        <v>2248</v>
      </c>
      <c r="L190" s="5" t="s">
        <v>32</v>
      </c>
      <c r="M190" s="5" t="s">
        <v>33</v>
      </c>
      <c r="N190" s="5" t="s">
        <v>34</v>
      </c>
      <c r="O190" s="5" t="s">
        <v>239</v>
      </c>
      <c r="P190" s="5" t="s">
        <v>1172</v>
      </c>
      <c r="Q190" s="5" t="s">
        <v>1173</v>
      </c>
      <c r="R190" s="5" t="s">
        <v>790</v>
      </c>
      <c r="S190" s="5" t="s">
        <v>791</v>
      </c>
      <c r="T190" s="5" t="s">
        <v>790</v>
      </c>
      <c r="U190" s="5" t="s">
        <v>1049</v>
      </c>
    </row>
    <row r="191" spans="1:21" s="4" customFormat="1" x14ac:dyDescent="0.35">
      <c r="A191" s="4" t="s">
        <v>1180</v>
      </c>
      <c r="B191" s="4" t="s">
        <v>117</v>
      </c>
      <c r="C191" s="4" t="s">
        <v>260</v>
      </c>
      <c r="D191" s="4" t="s">
        <v>1175</v>
      </c>
      <c r="E191" s="4" t="s">
        <v>790</v>
      </c>
      <c r="F191" s="4" t="s">
        <v>1176</v>
      </c>
      <c r="G191" s="4" t="s">
        <v>1177</v>
      </c>
      <c r="H191" s="4" t="s">
        <v>1178</v>
      </c>
      <c r="J191" s="4" t="s">
        <v>738</v>
      </c>
      <c r="K191" s="4" t="s">
        <v>1179</v>
      </c>
      <c r="L191" s="4" t="s">
        <v>32</v>
      </c>
      <c r="M191" s="4" t="s">
        <v>33</v>
      </c>
      <c r="N191" s="4" t="s">
        <v>34</v>
      </c>
      <c r="O191" s="4" t="s">
        <v>239</v>
      </c>
      <c r="P191" s="4" t="s">
        <v>1158</v>
      </c>
      <c r="Q191" s="4" t="s">
        <v>1159</v>
      </c>
      <c r="R191" s="4" t="s">
        <v>790</v>
      </c>
      <c r="S191" s="4" t="s">
        <v>791</v>
      </c>
      <c r="T191" s="4" t="s">
        <v>790</v>
      </c>
      <c r="U191" s="4" t="s">
        <v>1049</v>
      </c>
    </row>
    <row r="192" spans="1:21" s="4" customFormat="1" x14ac:dyDescent="0.35">
      <c r="A192" s="4" t="s">
        <v>1186</v>
      </c>
      <c r="B192" s="4" t="s">
        <v>117</v>
      </c>
      <c r="C192" s="4" t="s">
        <v>118</v>
      </c>
      <c r="D192" s="4" t="s">
        <v>1181</v>
      </c>
      <c r="E192" s="4" t="s">
        <v>790</v>
      </c>
      <c r="G192" s="4" t="s">
        <v>1182</v>
      </c>
      <c r="H192" s="4" t="s">
        <v>1183</v>
      </c>
      <c r="J192" s="4" t="s">
        <v>827</v>
      </c>
      <c r="K192" s="4" t="s">
        <v>2240</v>
      </c>
      <c r="L192" s="4" t="s">
        <v>32</v>
      </c>
      <c r="M192" s="4" t="s">
        <v>33</v>
      </c>
      <c r="N192" s="4" t="s">
        <v>34</v>
      </c>
      <c r="O192" s="4" t="s">
        <v>239</v>
      </c>
      <c r="P192" s="4" t="s">
        <v>1184</v>
      </c>
      <c r="Q192" s="4" t="s">
        <v>1185</v>
      </c>
      <c r="R192" s="4" t="s">
        <v>790</v>
      </c>
      <c r="S192" s="4" t="s">
        <v>791</v>
      </c>
      <c r="T192" s="4" t="s">
        <v>1094</v>
      </c>
      <c r="U192" s="4" t="s">
        <v>1095</v>
      </c>
    </row>
    <row r="193" spans="1:21" s="4" customFormat="1" x14ac:dyDescent="0.35">
      <c r="A193" s="4" t="s">
        <v>1192</v>
      </c>
      <c r="B193" s="4" t="s">
        <v>23</v>
      </c>
      <c r="C193" s="4" t="s">
        <v>24</v>
      </c>
      <c r="D193" s="4" t="s">
        <v>1187</v>
      </c>
      <c r="E193" s="4" t="s">
        <v>790</v>
      </c>
      <c r="H193" s="4" t="s">
        <v>1188</v>
      </c>
      <c r="J193" s="4" t="s">
        <v>1189</v>
      </c>
      <c r="K193" s="4" t="s">
        <v>2240</v>
      </c>
      <c r="L193" s="4" t="s">
        <v>32</v>
      </c>
      <c r="M193" s="4" t="s">
        <v>33</v>
      </c>
      <c r="N193" s="4" t="s">
        <v>34</v>
      </c>
      <c r="O193" s="4" t="s">
        <v>239</v>
      </c>
      <c r="P193" s="4" t="s">
        <v>1190</v>
      </c>
      <c r="Q193" s="4" t="s">
        <v>1191</v>
      </c>
      <c r="R193" s="4" t="s">
        <v>790</v>
      </c>
      <c r="S193" s="4" t="s">
        <v>791</v>
      </c>
      <c r="T193" s="4" t="s">
        <v>1094</v>
      </c>
      <c r="U193" s="4" t="s">
        <v>1095</v>
      </c>
    </row>
    <row r="194" spans="1:21" s="4" customFormat="1" x14ac:dyDescent="0.35">
      <c r="A194" s="4" t="s">
        <v>1193</v>
      </c>
      <c r="B194" s="4" t="s">
        <v>117</v>
      </c>
      <c r="C194" s="4" t="s">
        <v>24</v>
      </c>
      <c r="D194" s="4" t="s">
        <v>1194</v>
      </c>
      <c r="E194" s="4" t="s">
        <v>790</v>
      </c>
      <c r="G194" s="4" t="s">
        <v>1195</v>
      </c>
      <c r="H194" s="4" t="s">
        <v>1196</v>
      </c>
      <c r="J194" s="4" t="s">
        <v>1197</v>
      </c>
      <c r="K194" s="4" t="s">
        <v>2240</v>
      </c>
      <c r="L194" s="4" t="s">
        <v>32</v>
      </c>
      <c r="M194" s="4" t="s">
        <v>33</v>
      </c>
      <c r="N194" s="4" t="s">
        <v>34</v>
      </c>
      <c r="O194" s="4" t="s">
        <v>239</v>
      </c>
      <c r="P194" s="4" t="s">
        <v>1198</v>
      </c>
      <c r="Q194" s="4" t="s">
        <v>1199</v>
      </c>
      <c r="R194" s="4" t="s">
        <v>790</v>
      </c>
      <c r="S194" s="4" t="s">
        <v>791</v>
      </c>
      <c r="T194" s="4" t="s">
        <v>1200</v>
      </c>
      <c r="U194" s="4" t="s">
        <v>1201</v>
      </c>
    </row>
    <row r="195" spans="1:21" s="4" customFormat="1" x14ac:dyDescent="0.35">
      <c r="A195" s="4" t="s">
        <v>1202</v>
      </c>
      <c r="B195" s="4" t="s">
        <v>23</v>
      </c>
      <c r="C195" s="4" t="s">
        <v>24</v>
      </c>
      <c r="D195" s="4" t="s">
        <v>1203</v>
      </c>
      <c r="E195" s="4" t="s">
        <v>790</v>
      </c>
      <c r="G195" s="4" t="s">
        <v>1204</v>
      </c>
      <c r="H195" s="4" t="s">
        <v>1205</v>
      </c>
      <c r="J195" s="4" t="s">
        <v>1189</v>
      </c>
      <c r="K195" s="4" t="s">
        <v>2235</v>
      </c>
      <c r="L195" s="4" t="s">
        <v>32</v>
      </c>
      <c r="M195" s="4" t="s">
        <v>33</v>
      </c>
      <c r="N195" s="4" t="s">
        <v>34</v>
      </c>
      <c r="O195" s="4" t="s">
        <v>239</v>
      </c>
      <c r="P195" s="4" t="s">
        <v>1206</v>
      </c>
      <c r="Q195" s="4" t="s">
        <v>1207</v>
      </c>
      <c r="R195" s="4" t="s">
        <v>790</v>
      </c>
      <c r="S195" s="4" t="s">
        <v>791</v>
      </c>
      <c r="T195" s="4" t="s">
        <v>792</v>
      </c>
      <c r="U195" s="4" t="s">
        <v>793</v>
      </c>
    </row>
    <row r="196" spans="1:21" s="4" customFormat="1" x14ac:dyDescent="0.35">
      <c r="A196" s="4" t="s">
        <v>1212</v>
      </c>
      <c r="B196" s="4" t="s">
        <v>117</v>
      </c>
      <c r="C196" s="4" t="s">
        <v>24</v>
      </c>
      <c r="D196" s="4" t="s">
        <v>1208</v>
      </c>
      <c r="E196" s="4" t="s">
        <v>790</v>
      </c>
      <c r="H196" s="4" t="s">
        <v>1209</v>
      </c>
      <c r="J196" s="4" t="s">
        <v>1189</v>
      </c>
      <c r="K196" s="4" t="s">
        <v>2235</v>
      </c>
      <c r="L196" s="4" t="s">
        <v>32</v>
      </c>
      <c r="M196" s="4" t="s">
        <v>33</v>
      </c>
      <c r="N196" s="4" t="s">
        <v>34</v>
      </c>
      <c r="O196" s="4" t="s">
        <v>239</v>
      </c>
      <c r="P196" s="4" t="s">
        <v>1210</v>
      </c>
      <c r="Q196" s="4" t="s">
        <v>1211</v>
      </c>
      <c r="R196" s="4" t="s">
        <v>790</v>
      </c>
      <c r="S196" s="4" t="s">
        <v>791</v>
      </c>
      <c r="T196" s="4" t="s">
        <v>792</v>
      </c>
      <c r="U196" s="4" t="s">
        <v>793</v>
      </c>
    </row>
    <row r="197" spans="1:21" s="4" customFormat="1" x14ac:dyDescent="0.35">
      <c r="A197" s="4" t="s">
        <v>1218</v>
      </c>
      <c r="B197" s="4" t="s">
        <v>117</v>
      </c>
      <c r="C197" s="4" t="s">
        <v>24</v>
      </c>
      <c r="D197" s="4" t="s">
        <v>1213</v>
      </c>
      <c r="E197" s="4" t="s">
        <v>790</v>
      </c>
      <c r="G197" s="4" t="s">
        <v>1214</v>
      </c>
      <c r="H197" s="4" t="s">
        <v>1215</v>
      </c>
      <c r="J197" s="4" t="s">
        <v>827</v>
      </c>
      <c r="K197" s="4" t="s">
        <v>2241</v>
      </c>
      <c r="L197" s="4" t="s">
        <v>32</v>
      </c>
      <c r="M197" s="4" t="s">
        <v>33</v>
      </c>
      <c r="N197" s="4" t="s">
        <v>34</v>
      </c>
      <c r="O197" s="4" t="s">
        <v>239</v>
      </c>
      <c r="P197" s="4" t="s">
        <v>1216</v>
      </c>
      <c r="Q197" s="4" t="s">
        <v>1217</v>
      </c>
      <c r="R197" s="4" t="s">
        <v>790</v>
      </c>
      <c r="S197" s="4" t="s">
        <v>791</v>
      </c>
      <c r="T197" s="4" t="s">
        <v>790</v>
      </c>
      <c r="U197" s="4" t="s">
        <v>1049</v>
      </c>
    </row>
    <row r="198" spans="1:21" s="4" customFormat="1" x14ac:dyDescent="0.35">
      <c r="A198" s="4" t="s">
        <v>1219</v>
      </c>
      <c r="B198" s="4" t="s">
        <v>23</v>
      </c>
      <c r="C198" s="4" t="s">
        <v>24</v>
      </c>
      <c r="D198" s="4" t="s">
        <v>1220</v>
      </c>
      <c r="E198" s="4" t="s">
        <v>790</v>
      </c>
      <c r="H198" s="4" t="s">
        <v>1221</v>
      </c>
      <c r="J198" s="4" t="s">
        <v>775</v>
      </c>
      <c r="K198" s="4" t="s">
        <v>2235</v>
      </c>
      <c r="L198" s="4" t="s">
        <v>32</v>
      </c>
      <c r="M198" s="4" t="s">
        <v>33</v>
      </c>
      <c r="N198" s="4" t="s">
        <v>34</v>
      </c>
      <c r="O198" s="4" t="s">
        <v>239</v>
      </c>
      <c r="P198" s="4" t="s">
        <v>1222</v>
      </c>
      <c r="Q198" s="4" t="s">
        <v>1223</v>
      </c>
      <c r="R198" s="4" t="s">
        <v>790</v>
      </c>
      <c r="S198" s="4" t="s">
        <v>791</v>
      </c>
      <c r="T198" s="4" t="s">
        <v>1224</v>
      </c>
      <c r="U198" s="4" t="s">
        <v>1225</v>
      </c>
    </row>
    <row r="199" spans="1:21" s="4" customFormat="1" x14ac:dyDescent="0.35">
      <c r="A199" s="4" t="s">
        <v>1233</v>
      </c>
      <c r="B199" s="4" t="s">
        <v>23</v>
      </c>
      <c r="C199" s="4" t="s">
        <v>24</v>
      </c>
      <c r="D199" s="4" t="s">
        <v>1226</v>
      </c>
      <c r="E199" s="4" t="s">
        <v>790</v>
      </c>
      <c r="G199" s="4" t="s">
        <v>1227</v>
      </c>
      <c r="H199" s="4" t="s">
        <v>1228</v>
      </c>
      <c r="J199" s="4" t="s">
        <v>1197</v>
      </c>
      <c r="K199" s="4" t="s">
        <v>2235</v>
      </c>
      <c r="L199" s="4" t="s">
        <v>32</v>
      </c>
      <c r="M199" s="4" t="s">
        <v>33</v>
      </c>
      <c r="N199" s="4" t="s">
        <v>34</v>
      </c>
      <c r="O199" s="4" t="s">
        <v>239</v>
      </c>
      <c r="P199" s="4" t="s">
        <v>1229</v>
      </c>
      <c r="Q199" s="4" t="s">
        <v>1230</v>
      </c>
      <c r="R199" s="4" t="s">
        <v>790</v>
      </c>
      <c r="S199" s="4" t="s">
        <v>791</v>
      </c>
      <c r="T199" s="4" t="s">
        <v>1231</v>
      </c>
      <c r="U199" s="4" t="s">
        <v>1232</v>
      </c>
    </row>
    <row r="200" spans="1:21" s="4" customFormat="1" x14ac:dyDescent="0.35">
      <c r="A200" s="4" t="s">
        <v>1234</v>
      </c>
      <c r="B200" s="4" t="s">
        <v>117</v>
      </c>
      <c r="C200" s="4" t="s">
        <v>1235</v>
      </c>
      <c r="D200" s="4" t="s">
        <v>1236</v>
      </c>
      <c r="E200" s="4" t="s">
        <v>790</v>
      </c>
      <c r="H200" s="4" t="s">
        <v>1237</v>
      </c>
      <c r="J200" s="4" t="s">
        <v>1189</v>
      </c>
      <c r="K200" s="4" t="s">
        <v>2236</v>
      </c>
      <c r="L200" s="4" t="s">
        <v>32</v>
      </c>
      <c r="M200" s="4" t="s">
        <v>33</v>
      </c>
      <c r="N200" s="4" t="s">
        <v>34</v>
      </c>
      <c r="O200" s="4" t="s">
        <v>239</v>
      </c>
      <c r="P200" s="4" t="s">
        <v>1238</v>
      </c>
      <c r="Q200" s="4" t="s">
        <v>1239</v>
      </c>
      <c r="R200" s="4" t="s">
        <v>790</v>
      </c>
      <c r="S200" s="4" t="s">
        <v>791</v>
      </c>
      <c r="T200" s="4" t="s">
        <v>790</v>
      </c>
      <c r="U200" s="4" t="s">
        <v>1049</v>
      </c>
    </row>
    <row r="201" spans="1:21" s="4" customFormat="1" x14ac:dyDescent="0.35">
      <c r="A201" s="4" t="s">
        <v>1244</v>
      </c>
      <c r="B201" s="4" t="s">
        <v>23</v>
      </c>
      <c r="C201" s="4" t="s">
        <v>24</v>
      </c>
      <c r="D201" s="4" t="s">
        <v>1240</v>
      </c>
      <c r="E201" s="4" t="s">
        <v>790</v>
      </c>
      <c r="G201" s="4" t="s">
        <v>1241</v>
      </c>
      <c r="H201" s="4" t="s">
        <v>1242</v>
      </c>
      <c r="J201" s="4" t="s">
        <v>1243</v>
      </c>
      <c r="K201" s="4" t="s">
        <v>2235</v>
      </c>
      <c r="L201" s="4" t="s">
        <v>32</v>
      </c>
      <c r="M201" s="4" t="s">
        <v>33</v>
      </c>
      <c r="N201" s="4" t="s">
        <v>34</v>
      </c>
      <c r="O201" s="4" t="s">
        <v>239</v>
      </c>
      <c r="P201" s="4" t="s">
        <v>1158</v>
      </c>
      <c r="Q201" s="4" t="s">
        <v>1159</v>
      </c>
      <c r="R201" s="4" t="s">
        <v>790</v>
      </c>
      <c r="S201" s="4" t="s">
        <v>791</v>
      </c>
      <c r="T201" s="4" t="s">
        <v>790</v>
      </c>
      <c r="U201" s="4" t="s">
        <v>1049</v>
      </c>
    </row>
    <row r="202" spans="1:21" s="4" customFormat="1" x14ac:dyDescent="0.35">
      <c r="A202" s="4" t="s">
        <v>1250</v>
      </c>
      <c r="B202" s="4" t="s">
        <v>117</v>
      </c>
      <c r="C202" s="4" t="s">
        <v>24</v>
      </c>
      <c r="D202" s="4" t="s">
        <v>1245</v>
      </c>
      <c r="E202" s="4" t="s">
        <v>790</v>
      </c>
      <c r="H202" s="4" t="s">
        <v>1246</v>
      </c>
      <c r="J202" s="4" t="s">
        <v>1247</v>
      </c>
      <c r="K202" s="4" t="s">
        <v>2235</v>
      </c>
      <c r="L202" s="4" t="s">
        <v>32</v>
      </c>
      <c r="M202" s="4" t="s">
        <v>33</v>
      </c>
      <c r="N202" s="4" t="s">
        <v>34</v>
      </c>
      <c r="O202" s="4" t="s">
        <v>239</v>
      </c>
      <c r="P202" s="4" t="s">
        <v>1248</v>
      </c>
      <c r="Q202" s="4" t="s">
        <v>1249</v>
      </c>
      <c r="R202" s="4" t="s">
        <v>790</v>
      </c>
      <c r="S202" s="4" t="s">
        <v>791</v>
      </c>
      <c r="T202" s="4" t="s">
        <v>1200</v>
      </c>
      <c r="U202" s="4" t="s">
        <v>1201</v>
      </c>
    </row>
    <row r="203" spans="1:21" s="4" customFormat="1" x14ac:dyDescent="0.35">
      <c r="A203" s="4" t="s">
        <v>1256</v>
      </c>
      <c r="B203" s="4" t="s">
        <v>117</v>
      </c>
      <c r="C203" s="4" t="s">
        <v>24</v>
      </c>
      <c r="D203" s="4" t="s">
        <v>1251</v>
      </c>
      <c r="E203" s="4" t="s">
        <v>790</v>
      </c>
      <c r="G203" s="4" t="s">
        <v>1252</v>
      </c>
      <c r="H203" s="4" t="s">
        <v>1253</v>
      </c>
      <c r="J203" s="4" t="s">
        <v>1189</v>
      </c>
      <c r="K203" s="4" t="s">
        <v>2242</v>
      </c>
      <c r="L203" s="4" t="s">
        <v>32</v>
      </c>
      <c r="M203" s="4" t="s">
        <v>33</v>
      </c>
      <c r="N203" s="4" t="s">
        <v>34</v>
      </c>
      <c r="O203" s="4" t="s">
        <v>239</v>
      </c>
      <c r="P203" s="4" t="s">
        <v>1254</v>
      </c>
      <c r="Q203" s="4" t="s">
        <v>1255</v>
      </c>
      <c r="R203" s="4" t="s">
        <v>790</v>
      </c>
      <c r="S203" s="4" t="s">
        <v>791</v>
      </c>
      <c r="T203" s="4" t="s">
        <v>790</v>
      </c>
      <c r="U203" s="4" t="s">
        <v>1049</v>
      </c>
    </row>
    <row r="204" spans="1:21" s="4" customFormat="1" x14ac:dyDescent="0.35">
      <c r="A204" s="4" t="s">
        <v>1262</v>
      </c>
      <c r="B204" s="4" t="s">
        <v>117</v>
      </c>
      <c r="C204" s="4" t="s">
        <v>24</v>
      </c>
      <c r="D204" s="4" t="s">
        <v>1257</v>
      </c>
      <c r="E204" s="4" t="s">
        <v>790</v>
      </c>
      <c r="H204" s="4" t="s">
        <v>1258</v>
      </c>
      <c r="J204" s="4" t="s">
        <v>1259</v>
      </c>
      <c r="K204" s="4" t="s">
        <v>2242</v>
      </c>
      <c r="L204" s="4" t="s">
        <v>32</v>
      </c>
      <c r="M204" s="4" t="s">
        <v>33</v>
      </c>
      <c r="N204" s="4" t="s">
        <v>34</v>
      </c>
      <c r="O204" s="4" t="s">
        <v>239</v>
      </c>
      <c r="P204" s="4" t="s">
        <v>1260</v>
      </c>
      <c r="Q204" s="4" t="s">
        <v>1261</v>
      </c>
      <c r="R204" s="4" t="s">
        <v>790</v>
      </c>
      <c r="S204" s="4" t="s">
        <v>791</v>
      </c>
      <c r="T204" s="4" t="s">
        <v>790</v>
      </c>
      <c r="U204" s="4" t="s">
        <v>1049</v>
      </c>
    </row>
    <row r="205" spans="1:21" s="4" customFormat="1" x14ac:dyDescent="0.35">
      <c r="A205" s="4" t="s">
        <v>1269</v>
      </c>
      <c r="B205" s="4" t="s">
        <v>23</v>
      </c>
      <c r="C205" s="4" t="s">
        <v>24</v>
      </c>
      <c r="D205" s="4" t="s">
        <v>1263</v>
      </c>
      <c r="E205" s="4" t="s">
        <v>790</v>
      </c>
      <c r="G205" s="4" t="s">
        <v>1264</v>
      </c>
      <c r="H205" s="4" t="s">
        <v>1265</v>
      </c>
      <c r="J205" s="4" t="s">
        <v>1266</v>
      </c>
      <c r="K205" s="4" t="s">
        <v>2241</v>
      </c>
      <c r="L205" s="4" t="s">
        <v>32</v>
      </c>
      <c r="M205" s="4" t="s">
        <v>33</v>
      </c>
      <c r="N205" s="4" t="s">
        <v>34</v>
      </c>
      <c r="O205" s="4" t="s">
        <v>239</v>
      </c>
      <c r="P205" s="4" t="s">
        <v>1267</v>
      </c>
      <c r="Q205" s="4" t="s">
        <v>1268</v>
      </c>
      <c r="R205" s="4" t="s">
        <v>790</v>
      </c>
      <c r="S205" s="4" t="s">
        <v>791</v>
      </c>
      <c r="T205" s="4" t="s">
        <v>790</v>
      </c>
      <c r="U205" s="4" t="s">
        <v>1049</v>
      </c>
    </row>
    <row r="206" spans="1:21" s="4" customFormat="1" x14ac:dyDescent="0.35">
      <c r="A206" s="4" t="s">
        <v>1273</v>
      </c>
      <c r="B206" s="4" t="s">
        <v>117</v>
      </c>
      <c r="C206" s="4" t="s">
        <v>24</v>
      </c>
      <c r="D206" s="4" t="s">
        <v>1257</v>
      </c>
      <c r="E206" s="4" t="s">
        <v>790</v>
      </c>
      <c r="H206" s="4" t="s">
        <v>1253</v>
      </c>
      <c r="J206" s="4" t="s">
        <v>1270</v>
      </c>
      <c r="K206" s="4" t="s">
        <v>2241</v>
      </c>
      <c r="L206" s="4" t="s">
        <v>32</v>
      </c>
      <c r="M206" s="4" t="s">
        <v>33</v>
      </c>
      <c r="N206" s="4" t="s">
        <v>34</v>
      </c>
      <c r="O206" s="4" t="s">
        <v>239</v>
      </c>
      <c r="P206" s="4" t="s">
        <v>1271</v>
      </c>
      <c r="Q206" s="4" t="s">
        <v>1272</v>
      </c>
      <c r="R206" s="4" t="s">
        <v>790</v>
      </c>
      <c r="S206" s="4" t="s">
        <v>791</v>
      </c>
      <c r="T206" s="4" t="s">
        <v>790</v>
      </c>
      <c r="U206" s="4" t="s">
        <v>1049</v>
      </c>
    </row>
    <row r="207" spans="1:21" s="4" customFormat="1" x14ac:dyDescent="0.35">
      <c r="A207" s="4" t="s">
        <v>1282</v>
      </c>
      <c r="B207" s="4" t="s">
        <v>23</v>
      </c>
      <c r="C207" s="4" t="s">
        <v>24</v>
      </c>
      <c r="D207" s="4" t="s">
        <v>1274</v>
      </c>
      <c r="E207" s="4" t="s">
        <v>1275</v>
      </c>
      <c r="G207" s="4" t="s">
        <v>1276</v>
      </c>
      <c r="H207" s="4" t="s">
        <v>1277</v>
      </c>
      <c r="J207" s="4" t="s">
        <v>64</v>
      </c>
      <c r="K207" s="4" t="s">
        <v>2228</v>
      </c>
      <c r="L207" s="4" t="s">
        <v>32</v>
      </c>
      <c r="M207" s="4" t="s">
        <v>33</v>
      </c>
      <c r="N207" s="4" t="s">
        <v>34</v>
      </c>
      <c r="O207" s="4" t="s">
        <v>35</v>
      </c>
      <c r="P207" s="4" t="s">
        <v>1278</v>
      </c>
      <c r="Q207" s="4" t="s">
        <v>1279</v>
      </c>
      <c r="R207" s="4" t="s">
        <v>1275</v>
      </c>
      <c r="S207" s="4" t="s">
        <v>1280</v>
      </c>
      <c r="T207" s="4" t="s">
        <v>1275</v>
      </c>
      <c r="U207" s="4" t="s">
        <v>1281</v>
      </c>
    </row>
    <row r="208" spans="1:21" s="4" customFormat="1" x14ac:dyDescent="0.35">
      <c r="A208" s="4" t="s">
        <v>1286</v>
      </c>
      <c r="B208" s="4" t="s">
        <v>62</v>
      </c>
      <c r="C208" s="4" t="s">
        <v>63</v>
      </c>
      <c r="D208" s="4" t="s">
        <v>1283</v>
      </c>
      <c r="E208" s="4" t="s">
        <v>1275</v>
      </c>
      <c r="G208" s="4" t="s">
        <v>1284</v>
      </c>
      <c r="H208" s="4" t="s">
        <v>1285</v>
      </c>
      <c r="J208" s="4" t="s">
        <v>64</v>
      </c>
      <c r="K208" s="4" t="s">
        <v>2228</v>
      </c>
      <c r="L208" s="4" t="s">
        <v>65</v>
      </c>
      <c r="M208" s="4" t="s">
        <v>33</v>
      </c>
      <c r="N208" s="4" t="s">
        <v>34</v>
      </c>
      <c r="O208" s="4" t="s">
        <v>35</v>
      </c>
      <c r="P208" s="4" t="s">
        <v>1278</v>
      </c>
      <c r="Q208" s="4" t="s">
        <v>1279</v>
      </c>
      <c r="R208" s="4" t="s">
        <v>1275</v>
      </c>
      <c r="S208" s="4" t="s">
        <v>1280</v>
      </c>
      <c r="T208" s="4" t="s">
        <v>1275</v>
      </c>
      <c r="U208" s="4" t="s">
        <v>1281</v>
      </c>
    </row>
    <row r="209" spans="1:21" s="4" customFormat="1" x14ac:dyDescent="0.35">
      <c r="A209" s="4" t="s">
        <v>1290</v>
      </c>
      <c r="B209" s="4" t="s">
        <v>53</v>
      </c>
      <c r="C209" s="4" t="s">
        <v>673</v>
      </c>
      <c r="D209" s="4" t="s">
        <v>1287</v>
      </c>
      <c r="E209" s="4" t="s">
        <v>1275</v>
      </c>
      <c r="G209" s="4" t="s">
        <v>1288</v>
      </c>
      <c r="H209" s="4" t="s">
        <v>1289</v>
      </c>
      <c r="J209" s="4" t="s">
        <v>64</v>
      </c>
      <c r="L209" s="4" t="s">
        <v>58</v>
      </c>
      <c r="M209" s="4" t="s">
        <v>33</v>
      </c>
      <c r="N209" s="4" t="s">
        <v>34</v>
      </c>
      <c r="O209" s="4" t="s">
        <v>35</v>
      </c>
      <c r="P209" s="4" t="s">
        <v>1278</v>
      </c>
      <c r="Q209" s="4" t="s">
        <v>1279</v>
      </c>
      <c r="R209" s="4" t="s">
        <v>1275</v>
      </c>
      <c r="S209" s="4" t="s">
        <v>1280</v>
      </c>
      <c r="T209" s="4" t="s">
        <v>1275</v>
      </c>
      <c r="U209" s="4" t="s">
        <v>1281</v>
      </c>
    </row>
    <row r="210" spans="1:21" s="4" customFormat="1" x14ac:dyDescent="0.35">
      <c r="A210" s="4" t="s">
        <v>1291</v>
      </c>
      <c r="B210" s="4" t="s">
        <v>23</v>
      </c>
      <c r="C210" s="4" t="s">
        <v>24</v>
      </c>
      <c r="D210" s="4" t="s">
        <v>1292</v>
      </c>
      <c r="E210" s="4" t="s">
        <v>1275</v>
      </c>
      <c r="G210" s="4" t="s">
        <v>1293</v>
      </c>
      <c r="H210" s="4" t="s">
        <v>1294</v>
      </c>
      <c r="J210" s="4" t="s">
        <v>64</v>
      </c>
      <c r="K210" s="4" t="s">
        <v>2228</v>
      </c>
      <c r="L210" s="4" t="s">
        <v>32</v>
      </c>
      <c r="M210" s="4" t="s">
        <v>33</v>
      </c>
      <c r="N210" s="4" t="s">
        <v>34</v>
      </c>
      <c r="O210" s="4" t="s">
        <v>35</v>
      </c>
      <c r="P210" s="4" t="s">
        <v>1295</v>
      </c>
      <c r="Q210" s="4" t="s">
        <v>1296</v>
      </c>
      <c r="R210" s="4" t="s">
        <v>1275</v>
      </c>
      <c r="S210" s="4" t="s">
        <v>1280</v>
      </c>
      <c r="T210" s="4" t="s">
        <v>1292</v>
      </c>
      <c r="U210" s="4" t="s">
        <v>1297</v>
      </c>
    </row>
    <row r="211" spans="1:21" s="4" customFormat="1" x14ac:dyDescent="0.35">
      <c r="A211" s="4" t="s">
        <v>1298</v>
      </c>
      <c r="B211" s="4" t="s">
        <v>62</v>
      </c>
      <c r="C211" s="4" t="s">
        <v>63</v>
      </c>
      <c r="D211" s="4" t="s">
        <v>1299</v>
      </c>
      <c r="E211" s="4" t="s">
        <v>1275</v>
      </c>
      <c r="G211" s="4" t="s">
        <v>1293</v>
      </c>
      <c r="H211" s="4" t="s">
        <v>1294</v>
      </c>
      <c r="J211" s="4" t="s">
        <v>64</v>
      </c>
      <c r="K211" s="4" t="s">
        <v>2228</v>
      </c>
      <c r="L211" s="4" t="s">
        <v>65</v>
      </c>
      <c r="M211" s="4" t="s">
        <v>33</v>
      </c>
      <c r="N211" s="4" t="s">
        <v>34</v>
      </c>
      <c r="O211" s="4" t="s">
        <v>35</v>
      </c>
      <c r="P211" s="4" t="s">
        <v>1295</v>
      </c>
      <c r="Q211" s="4" t="s">
        <v>1296</v>
      </c>
      <c r="R211" s="4" t="s">
        <v>1275</v>
      </c>
      <c r="S211" s="4" t="s">
        <v>1280</v>
      </c>
      <c r="T211" s="4" t="s">
        <v>1292</v>
      </c>
      <c r="U211" s="4" t="s">
        <v>1297</v>
      </c>
    </row>
    <row r="212" spans="1:21" s="4" customFormat="1" x14ac:dyDescent="0.35">
      <c r="A212" s="4" t="s">
        <v>1300</v>
      </c>
      <c r="B212" s="4" t="s">
        <v>23</v>
      </c>
      <c r="C212" s="4" t="s">
        <v>24</v>
      </c>
      <c r="D212" s="4" t="s">
        <v>1301</v>
      </c>
      <c r="E212" s="4" t="s">
        <v>1275</v>
      </c>
      <c r="H212" s="4" t="s">
        <v>1302</v>
      </c>
      <c r="J212" s="4" t="s">
        <v>1270</v>
      </c>
      <c r="K212" s="4" t="s">
        <v>2243</v>
      </c>
      <c r="L212" s="4" t="s">
        <v>32</v>
      </c>
      <c r="M212" s="4" t="s">
        <v>33</v>
      </c>
      <c r="N212" s="4" t="s">
        <v>34</v>
      </c>
      <c r="O212" s="4" t="s">
        <v>239</v>
      </c>
      <c r="P212" s="4" t="s">
        <v>1303</v>
      </c>
      <c r="Q212" s="4" t="s">
        <v>1304</v>
      </c>
      <c r="R212" s="4" t="s">
        <v>1275</v>
      </c>
      <c r="S212" s="4" t="s">
        <v>1280</v>
      </c>
      <c r="T212" s="4" t="s">
        <v>1275</v>
      </c>
      <c r="U212" s="4" t="s">
        <v>1281</v>
      </c>
    </row>
    <row r="213" spans="1:21" s="4" customFormat="1" x14ac:dyDescent="0.35">
      <c r="A213" s="4" t="s">
        <v>1310</v>
      </c>
      <c r="B213" s="4" t="s">
        <v>117</v>
      </c>
      <c r="C213" s="4" t="s">
        <v>24</v>
      </c>
      <c r="D213" s="4" t="s">
        <v>1305</v>
      </c>
      <c r="E213" s="4" t="s">
        <v>1275</v>
      </c>
      <c r="F213" s="4" t="s">
        <v>1306</v>
      </c>
      <c r="G213" s="4" t="s">
        <v>803</v>
      </c>
      <c r="H213" s="4" t="s">
        <v>1307</v>
      </c>
      <c r="K213" s="4" t="s">
        <v>2243</v>
      </c>
      <c r="L213" s="4" t="s">
        <v>32</v>
      </c>
      <c r="M213" s="4" t="s">
        <v>33</v>
      </c>
      <c r="N213" s="4" t="s">
        <v>34</v>
      </c>
      <c r="O213" s="4" t="s">
        <v>239</v>
      </c>
      <c r="P213" s="4" t="s">
        <v>1308</v>
      </c>
      <c r="Q213" s="4" t="s">
        <v>1309</v>
      </c>
      <c r="R213" s="4" t="s">
        <v>1275</v>
      </c>
      <c r="S213" s="4" t="s">
        <v>1280</v>
      </c>
      <c r="T213" s="4" t="s">
        <v>1275</v>
      </c>
      <c r="U213" s="4" t="s">
        <v>1281</v>
      </c>
    </row>
    <row r="214" spans="1:21" s="4" customFormat="1" x14ac:dyDescent="0.35">
      <c r="A214" s="4" t="s">
        <v>1311</v>
      </c>
      <c r="B214" s="4" t="s">
        <v>117</v>
      </c>
      <c r="C214" s="4" t="s">
        <v>260</v>
      </c>
      <c r="D214" s="4" t="s">
        <v>1312</v>
      </c>
      <c r="E214" s="4" t="s">
        <v>1275</v>
      </c>
      <c r="G214" s="4" t="s">
        <v>1313</v>
      </c>
      <c r="H214" s="4" t="s">
        <v>1314</v>
      </c>
      <c r="J214" s="4" t="s">
        <v>827</v>
      </c>
      <c r="K214" s="4" t="s">
        <v>2243</v>
      </c>
      <c r="L214" s="4" t="s">
        <v>32</v>
      </c>
      <c r="M214" s="4" t="s">
        <v>33</v>
      </c>
      <c r="N214" s="4" t="s">
        <v>34</v>
      </c>
      <c r="O214" s="4" t="s">
        <v>239</v>
      </c>
      <c r="P214" s="4" t="s">
        <v>1315</v>
      </c>
      <c r="Q214" s="4" t="s">
        <v>1316</v>
      </c>
      <c r="R214" s="4" t="s">
        <v>1275</v>
      </c>
      <c r="S214" s="4" t="s">
        <v>1280</v>
      </c>
      <c r="T214" s="4" t="s">
        <v>1275</v>
      </c>
      <c r="U214" s="4" t="s">
        <v>1281</v>
      </c>
    </row>
    <row r="215" spans="1:21" s="4" customFormat="1" x14ac:dyDescent="0.35">
      <c r="A215" s="4" t="s">
        <v>1317</v>
      </c>
      <c r="B215" s="4" t="s">
        <v>117</v>
      </c>
      <c r="C215" s="4" t="s">
        <v>260</v>
      </c>
      <c r="D215" s="4" t="s">
        <v>1318</v>
      </c>
      <c r="E215" s="4" t="s">
        <v>1275</v>
      </c>
      <c r="F215" s="4" t="s">
        <v>1319</v>
      </c>
      <c r="G215" s="4" t="s">
        <v>1320</v>
      </c>
      <c r="H215" s="4" t="s">
        <v>1321</v>
      </c>
      <c r="L215" s="4" t="s">
        <v>32</v>
      </c>
      <c r="M215" s="4" t="s">
        <v>33</v>
      </c>
      <c r="N215" s="4" t="s">
        <v>34</v>
      </c>
      <c r="O215" s="4" t="s">
        <v>239</v>
      </c>
      <c r="P215" s="4" t="s">
        <v>1322</v>
      </c>
      <c r="Q215" s="4" t="s">
        <v>1323</v>
      </c>
      <c r="R215" s="4" t="s">
        <v>1275</v>
      </c>
      <c r="S215" s="4" t="s">
        <v>1280</v>
      </c>
      <c r="T215" s="4" t="s">
        <v>1275</v>
      </c>
      <c r="U215" s="4" t="s">
        <v>1281</v>
      </c>
    </row>
    <row r="216" spans="1:21" s="4" customFormat="1" x14ac:dyDescent="0.35">
      <c r="A216" s="4" t="s">
        <v>1324</v>
      </c>
      <c r="B216" s="4" t="s">
        <v>117</v>
      </c>
      <c r="C216" s="4" t="s">
        <v>260</v>
      </c>
      <c r="D216" s="4" t="s">
        <v>1325</v>
      </c>
      <c r="E216" s="4" t="s">
        <v>1275</v>
      </c>
      <c r="G216" s="4" t="s">
        <v>1326</v>
      </c>
      <c r="H216" s="4" t="s">
        <v>1327</v>
      </c>
      <c r="L216" s="4" t="s">
        <v>32</v>
      </c>
      <c r="M216" s="4" t="s">
        <v>33</v>
      </c>
      <c r="N216" s="4" t="s">
        <v>34</v>
      </c>
      <c r="O216" s="4" t="s">
        <v>239</v>
      </c>
      <c r="P216" s="4" t="s">
        <v>1328</v>
      </c>
      <c r="Q216" s="4" t="s">
        <v>1329</v>
      </c>
      <c r="R216" s="4" t="s">
        <v>1275</v>
      </c>
      <c r="S216" s="4" t="s">
        <v>1280</v>
      </c>
      <c r="T216" s="4" t="s">
        <v>1275</v>
      </c>
      <c r="U216" s="4" t="s">
        <v>1281</v>
      </c>
    </row>
    <row r="217" spans="1:21" s="4" customFormat="1" x14ac:dyDescent="0.35">
      <c r="A217" s="4" t="s">
        <v>1334</v>
      </c>
      <c r="B217" s="4" t="s">
        <v>117</v>
      </c>
      <c r="C217" s="4" t="s">
        <v>260</v>
      </c>
      <c r="D217" s="4" t="s">
        <v>1330</v>
      </c>
      <c r="E217" s="4" t="s">
        <v>1275</v>
      </c>
      <c r="H217" s="4" t="s">
        <v>1331</v>
      </c>
      <c r="L217" s="4" t="s">
        <v>32</v>
      </c>
      <c r="M217" s="4" t="s">
        <v>33</v>
      </c>
      <c r="N217" s="4" t="s">
        <v>34</v>
      </c>
      <c r="O217" s="4" t="s">
        <v>239</v>
      </c>
      <c r="P217" s="4" t="s">
        <v>1332</v>
      </c>
      <c r="Q217" s="4" t="s">
        <v>1333</v>
      </c>
      <c r="R217" s="4" t="s">
        <v>1275</v>
      </c>
      <c r="S217" s="4" t="s">
        <v>1280</v>
      </c>
      <c r="T217" s="4" t="s">
        <v>1275</v>
      </c>
      <c r="U217" s="4" t="s">
        <v>1281</v>
      </c>
    </row>
    <row r="218" spans="1:21" s="4" customFormat="1" x14ac:dyDescent="0.35">
      <c r="A218" s="4" t="s">
        <v>1335</v>
      </c>
      <c r="B218" s="4" t="s">
        <v>117</v>
      </c>
      <c r="C218" s="4" t="s">
        <v>24</v>
      </c>
      <c r="D218" s="4" t="s">
        <v>1336</v>
      </c>
      <c r="E218" s="4" t="s">
        <v>1275</v>
      </c>
      <c r="H218" s="4" t="s">
        <v>1337</v>
      </c>
      <c r="K218" s="4" t="s">
        <v>2242</v>
      </c>
      <c r="L218" s="4" t="s">
        <v>32</v>
      </c>
      <c r="M218" s="4" t="s">
        <v>33</v>
      </c>
      <c r="N218" s="4" t="s">
        <v>34</v>
      </c>
      <c r="O218" s="4" t="s">
        <v>239</v>
      </c>
      <c r="P218" s="4" t="s">
        <v>1338</v>
      </c>
      <c r="Q218" s="4" t="s">
        <v>1339</v>
      </c>
      <c r="R218" s="4" t="s">
        <v>1275</v>
      </c>
      <c r="S218" s="4" t="s">
        <v>1280</v>
      </c>
      <c r="T218" s="4" t="s">
        <v>1275</v>
      </c>
      <c r="U218" s="4" t="s">
        <v>1281</v>
      </c>
    </row>
    <row r="219" spans="1:21" s="4" customFormat="1" x14ac:dyDescent="0.35">
      <c r="A219" s="4" t="s">
        <v>1340</v>
      </c>
      <c r="B219" s="4" t="s">
        <v>117</v>
      </c>
      <c r="C219" s="4" t="s">
        <v>24</v>
      </c>
      <c r="D219" s="4" t="s">
        <v>1341</v>
      </c>
      <c r="E219" s="4" t="s">
        <v>1275</v>
      </c>
      <c r="H219" s="4" t="s">
        <v>1342</v>
      </c>
      <c r="J219" s="4" t="s">
        <v>1343</v>
      </c>
      <c r="K219" s="4" t="s">
        <v>2236</v>
      </c>
      <c r="L219" s="4" t="s">
        <v>32</v>
      </c>
      <c r="M219" s="4" t="s">
        <v>33</v>
      </c>
      <c r="N219" s="4" t="s">
        <v>34</v>
      </c>
      <c r="O219" s="4" t="s">
        <v>239</v>
      </c>
      <c r="P219" s="4" t="s">
        <v>1344</v>
      </c>
      <c r="Q219" s="4" t="s">
        <v>1345</v>
      </c>
      <c r="R219" s="4" t="s">
        <v>1275</v>
      </c>
      <c r="S219" s="4" t="s">
        <v>1280</v>
      </c>
      <c r="T219" s="4" t="s">
        <v>1292</v>
      </c>
      <c r="U219" s="4" t="s">
        <v>1297</v>
      </c>
    </row>
    <row r="220" spans="1:21" s="4" customFormat="1" x14ac:dyDescent="0.35">
      <c r="A220" s="4" t="s">
        <v>1346</v>
      </c>
      <c r="B220" s="4" t="s">
        <v>117</v>
      </c>
      <c r="C220" s="4" t="s">
        <v>1347</v>
      </c>
      <c r="D220" s="4" t="s">
        <v>1348</v>
      </c>
      <c r="E220" s="4" t="s">
        <v>1275</v>
      </c>
      <c r="F220" s="4" t="s">
        <v>1349</v>
      </c>
      <c r="G220" s="4" t="s">
        <v>1350</v>
      </c>
      <c r="H220" s="4" t="s">
        <v>1351</v>
      </c>
      <c r="J220" s="4" t="s">
        <v>1938</v>
      </c>
      <c r="K220" s="4" t="s">
        <v>31</v>
      </c>
      <c r="L220" s="4" t="s">
        <v>32</v>
      </c>
      <c r="M220" s="4" t="s">
        <v>33</v>
      </c>
      <c r="N220" s="4" t="s">
        <v>34</v>
      </c>
      <c r="O220" s="4" t="s">
        <v>239</v>
      </c>
      <c r="P220" s="4" t="s">
        <v>1352</v>
      </c>
      <c r="Q220" s="4" t="s">
        <v>1353</v>
      </c>
      <c r="R220" s="4" t="s">
        <v>1275</v>
      </c>
      <c r="S220" s="4" t="s">
        <v>1280</v>
      </c>
      <c r="T220" s="4" t="s">
        <v>1275</v>
      </c>
      <c r="U220" s="4" t="s">
        <v>1281</v>
      </c>
    </row>
    <row r="221" spans="1:21" s="4" customFormat="1" x14ac:dyDescent="0.35">
      <c r="A221" s="4" t="s">
        <v>1354</v>
      </c>
      <c r="B221" s="4" t="s">
        <v>23</v>
      </c>
      <c r="C221" s="4" t="s">
        <v>24</v>
      </c>
      <c r="D221" s="4" t="s">
        <v>1355</v>
      </c>
      <c r="E221" s="4" t="s">
        <v>1356</v>
      </c>
      <c r="F221" s="4" t="s">
        <v>1357</v>
      </c>
      <c r="G221" s="4" t="s">
        <v>1358</v>
      </c>
      <c r="J221" s="4" t="s">
        <v>64</v>
      </c>
      <c r="K221" s="4" t="s">
        <v>2228</v>
      </c>
      <c r="L221" s="4" t="s">
        <v>32</v>
      </c>
      <c r="M221" s="4" t="s">
        <v>33</v>
      </c>
      <c r="N221" s="4" t="s">
        <v>34</v>
      </c>
      <c r="O221" s="4" t="s">
        <v>35</v>
      </c>
      <c r="P221" s="4" t="s">
        <v>1359</v>
      </c>
      <c r="Q221" s="4" t="s">
        <v>1360</v>
      </c>
      <c r="R221" s="4" t="s">
        <v>1356</v>
      </c>
      <c r="S221" s="4" t="s">
        <v>1361</v>
      </c>
      <c r="T221" s="4" t="s">
        <v>1356</v>
      </c>
      <c r="U221" s="4" t="s">
        <v>1362</v>
      </c>
    </row>
    <row r="222" spans="1:21" s="4" customFormat="1" x14ac:dyDescent="0.35">
      <c r="A222" s="4" t="s">
        <v>1363</v>
      </c>
      <c r="B222" s="4" t="s">
        <v>134</v>
      </c>
      <c r="C222" s="4" t="s">
        <v>54</v>
      </c>
      <c r="D222" s="4" t="s">
        <v>1364</v>
      </c>
      <c r="E222" s="4" t="s">
        <v>1356</v>
      </c>
      <c r="F222" s="4" t="s">
        <v>1365</v>
      </c>
      <c r="H222" s="4" t="s">
        <v>1366</v>
      </c>
      <c r="J222" s="4" t="s">
        <v>64</v>
      </c>
      <c r="K222" s="4" t="s">
        <v>31</v>
      </c>
      <c r="L222" s="4" t="s">
        <v>58</v>
      </c>
      <c r="M222" s="4" t="s">
        <v>33</v>
      </c>
      <c r="N222" s="4" t="s">
        <v>34</v>
      </c>
      <c r="O222" s="4" t="s">
        <v>35</v>
      </c>
      <c r="P222" s="4" t="s">
        <v>1359</v>
      </c>
      <c r="Q222" s="4" t="s">
        <v>1360</v>
      </c>
      <c r="R222" s="4" t="s">
        <v>1356</v>
      </c>
      <c r="S222" s="4" t="s">
        <v>1361</v>
      </c>
      <c r="T222" s="4" t="s">
        <v>1356</v>
      </c>
      <c r="U222" s="4" t="s">
        <v>1362</v>
      </c>
    </row>
    <row r="223" spans="1:21" s="4" customFormat="1" x14ac:dyDescent="0.35">
      <c r="A223" s="4" t="s">
        <v>1367</v>
      </c>
      <c r="B223" s="4" t="s">
        <v>62</v>
      </c>
      <c r="C223" s="4" t="s">
        <v>63</v>
      </c>
      <c r="D223" s="4" t="s">
        <v>1368</v>
      </c>
      <c r="E223" s="4" t="s">
        <v>1356</v>
      </c>
      <c r="J223" s="4" t="s">
        <v>64</v>
      </c>
      <c r="K223" s="4" t="s">
        <v>2228</v>
      </c>
      <c r="L223" s="4" t="s">
        <v>65</v>
      </c>
      <c r="M223" s="4" t="s">
        <v>33</v>
      </c>
      <c r="N223" s="4" t="s">
        <v>34</v>
      </c>
      <c r="O223" s="4" t="s">
        <v>35</v>
      </c>
      <c r="P223" s="4" t="s">
        <v>1359</v>
      </c>
      <c r="Q223" s="4" t="s">
        <v>1360</v>
      </c>
      <c r="R223" s="4" t="s">
        <v>1356</v>
      </c>
      <c r="S223" s="4" t="s">
        <v>1361</v>
      </c>
      <c r="T223" s="4" t="s">
        <v>1356</v>
      </c>
      <c r="U223" s="4" t="s">
        <v>1362</v>
      </c>
    </row>
    <row r="224" spans="1:21" s="4" customFormat="1" x14ac:dyDescent="0.35">
      <c r="A224" s="4" t="s">
        <v>1369</v>
      </c>
      <c r="B224" s="4" t="s">
        <v>53</v>
      </c>
      <c r="C224" s="4" t="s">
        <v>673</v>
      </c>
      <c r="D224" s="4" t="s">
        <v>1368</v>
      </c>
      <c r="E224" s="4" t="s">
        <v>1356</v>
      </c>
      <c r="F224" s="4" t="s">
        <v>1365</v>
      </c>
      <c r="H224" s="4" t="s">
        <v>1366</v>
      </c>
      <c r="J224" s="4" t="s">
        <v>64</v>
      </c>
      <c r="K224" s="4" t="s">
        <v>2228</v>
      </c>
      <c r="L224" s="4" t="s">
        <v>58</v>
      </c>
      <c r="M224" s="4" t="s">
        <v>33</v>
      </c>
      <c r="N224" s="4" t="s">
        <v>34</v>
      </c>
      <c r="O224" s="4" t="s">
        <v>35</v>
      </c>
      <c r="P224" s="4" t="s">
        <v>1359</v>
      </c>
      <c r="Q224" s="4" t="s">
        <v>1360</v>
      </c>
      <c r="R224" s="4" t="s">
        <v>1356</v>
      </c>
      <c r="S224" s="4" t="s">
        <v>1361</v>
      </c>
      <c r="T224" s="4" t="s">
        <v>1356</v>
      </c>
      <c r="U224" s="4" t="s">
        <v>1362</v>
      </c>
    </row>
    <row r="225" spans="1:21" s="4" customFormat="1" x14ac:dyDescent="0.35">
      <c r="A225" s="4" t="s">
        <v>1370</v>
      </c>
      <c r="B225" s="4" t="s">
        <v>23</v>
      </c>
      <c r="C225" s="4" t="s">
        <v>24</v>
      </c>
      <c r="D225" s="4" t="s">
        <v>1371</v>
      </c>
      <c r="E225" s="4" t="s">
        <v>1356</v>
      </c>
      <c r="J225" s="4" t="s">
        <v>64</v>
      </c>
      <c r="K225" s="4" t="s">
        <v>31</v>
      </c>
      <c r="L225" s="4" t="s">
        <v>32</v>
      </c>
      <c r="M225" s="4" t="s">
        <v>33</v>
      </c>
      <c r="N225" s="4" t="s">
        <v>34</v>
      </c>
      <c r="O225" s="4" t="s">
        <v>35</v>
      </c>
      <c r="P225" s="4" t="s">
        <v>1372</v>
      </c>
      <c r="Q225" s="4" t="s">
        <v>1373</v>
      </c>
      <c r="R225" s="4" t="s">
        <v>1356</v>
      </c>
      <c r="S225" s="4" t="s">
        <v>1361</v>
      </c>
      <c r="T225" s="4" t="s">
        <v>1356</v>
      </c>
      <c r="U225" s="4" t="s">
        <v>1362</v>
      </c>
    </row>
    <row r="226" spans="1:21" s="4" customFormat="1" x14ac:dyDescent="0.35">
      <c r="A226" s="4" t="s">
        <v>1374</v>
      </c>
      <c r="B226" s="4" t="s">
        <v>23</v>
      </c>
      <c r="C226" s="4" t="s">
        <v>24</v>
      </c>
      <c r="D226" s="4" t="s">
        <v>1375</v>
      </c>
      <c r="E226" s="4" t="s">
        <v>1356</v>
      </c>
      <c r="J226" s="4" t="s">
        <v>64</v>
      </c>
      <c r="K226" s="4" t="s">
        <v>2228</v>
      </c>
      <c r="L226" s="4" t="s">
        <v>32</v>
      </c>
      <c r="M226" s="4" t="s">
        <v>33</v>
      </c>
      <c r="N226" s="4" t="s">
        <v>34</v>
      </c>
      <c r="O226" s="4" t="s">
        <v>35</v>
      </c>
      <c r="P226" s="4" t="s">
        <v>1376</v>
      </c>
      <c r="Q226" s="4" t="s">
        <v>1377</v>
      </c>
      <c r="R226" s="4" t="s">
        <v>1356</v>
      </c>
      <c r="S226" s="4" t="s">
        <v>1361</v>
      </c>
      <c r="T226" s="4" t="s">
        <v>1378</v>
      </c>
      <c r="U226" s="4" t="s">
        <v>1379</v>
      </c>
    </row>
    <row r="227" spans="1:21" s="4" customFormat="1" x14ac:dyDescent="0.35">
      <c r="A227" s="4" t="s">
        <v>1380</v>
      </c>
      <c r="B227" s="4" t="s">
        <v>62</v>
      </c>
      <c r="C227" s="4" t="s">
        <v>24</v>
      </c>
      <c r="D227" s="4" t="s">
        <v>1381</v>
      </c>
      <c r="E227" s="4" t="s">
        <v>1356</v>
      </c>
      <c r="G227" s="4" t="s">
        <v>1382</v>
      </c>
      <c r="H227" s="4" t="s">
        <v>1383</v>
      </c>
      <c r="J227" s="4" t="s">
        <v>64</v>
      </c>
      <c r="K227" s="4" t="s">
        <v>2228</v>
      </c>
      <c r="L227" s="4" t="s">
        <v>65</v>
      </c>
      <c r="M227" s="4" t="s">
        <v>33</v>
      </c>
      <c r="N227" s="4" t="s">
        <v>34</v>
      </c>
      <c r="O227" s="4" t="s">
        <v>35</v>
      </c>
      <c r="P227" s="4" t="s">
        <v>1376</v>
      </c>
      <c r="Q227" s="4" t="s">
        <v>1377</v>
      </c>
      <c r="R227" s="4" t="s">
        <v>1356</v>
      </c>
      <c r="S227" s="4" t="s">
        <v>1361</v>
      </c>
      <c r="T227" s="4" t="s">
        <v>1378</v>
      </c>
      <c r="U227" s="4" t="s">
        <v>1379</v>
      </c>
    </row>
    <row r="228" spans="1:21" s="4" customFormat="1" x14ac:dyDescent="0.35">
      <c r="A228" s="4" t="s">
        <v>1390</v>
      </c>
      <c r="B228" s="4" t="s">
        <v>62</v>
      </c>
      <c r="C228" s="4" t="s">
        <v>24</v>
      </c>
      <c r="D228" s="4" t="s">
        <v>1384</v>
      </c>
      <c r="E228" s="4" t="s">
        <v>1356</v>
      </c>
      <c r="H228" s="4" t="s">
        <v>1385</v>
      </c>
      <c r="J228" s="4" t="s">
        <v>64</v>
      </c>
      <c r="K228" s="4" t="s">
        <v>2228</v>
      </c>
      <c r="L228" s="4" t="s">
        <v>65</v>
      </c>
      <c r="M228" s="4" t="s">
        <v>33</v>
      </c>
      <c r="N228" s="4" t="s">
        <v>34</v>
      </c>
      <c r="O228" s="4" t="s">
        <v>35</v>
      </c>
      <c r="P228" s="4" t="s">
        <v>1386</v>
      </c>
      <c r="Q228" s="4" t="s">
        <v>1387</v>
      </c>
      <c r="R228" s="4" t="s">
        <v>1356</v>
      </c>
      <c r="S228" s="4" t="s">
        <v>1361</v>
      </c>
      <c r="T228" s="4" t="s">
        <v>1388</v>
      </c>
      <c r="U228" s="4" t="s">
        <v>1389</v>
      </c>
    </row>
    <row r="229" spans="1:21" s="4" customFormat="1" x14ac:dyDescent="0.35">
      <c r="A229" s="4" t="s">
        <v>1391</v>
      </c>
      <c r="B229" s="4" t="s">
        <v>62</v>
      </c>
      <c r="C229" s="4" t="s">
        <v>24</v>
      </c>
      <c r="D229" s="4" t="s">
        <v>1392</v>
      </c>
      <c r="E229" s="4" t="s">
        <v>1356</v>
      </c>
      <c r="G229" s="4" t="s">
        <v>1393</v>
      </c>
      <c r="H229" s="4" t="s">
        <v>1394</v>
      </c>
      <c r="J229" s="4" t="s">
        <v>64</v>
      </c>
      <c r="K229" s="4" t="s">
        <v>2228</v>
      </c>
      <c r="L229" s="4" t="s">
        <v>65</v>
      </c>
      <c r="M229" s="4" t="s">
        <v>33</v>
      </c>
      <c r="N229" s="4" t="s">
        <v>34</v>
      </c>
      <c r="O229" s="4" t="s">
        <v>35</v>
      </c>
      <c r="P229" s="4" t="s">
        <v>1395</v>
      </c>
      <c r="Q229" s="4" t="s">
        <v>1396</v>
      </c>
      <c r="R229" s="4" t="s">
        <v>1356</v>
      </c>
      <c r="S229" s="4" t="s">
        <v>1361</v>
      </c>
      <c r="T229" s="4" t="s">
        <v>1397</v>
      </c>
      <c r="U229" s="4" t="s">
        <v>1398</v>
      </c>
    </row>
    <row r="230" spans="1:21" s="4" customFormat="1" x14ac:dyDescent="0.35">
      <c r="A230" s="4" t="s">
        <v>1404</v>
      </c>
      <c r="B230" s="4" t="s">
        <v>117</v>
      </c>
      <c r="C230" s="4" t="s">
        <v>24</v>
      </c>
      <c r="D230" s="4" t="s">
        <v>1399</v>
      </c>
      <c r="E230" s="4" t="s">
        <v>1356</v>
      </c>
      <c r="G230" s="4" t="s">
        <v>1400</v>
      </c>
      <c r="H230" s="4" t="s">
        <v>1401</v>
      </c>
      <c r="J230" s="4" t="s">
        <v>247</v>
      </c>
      <c r="K230" s="4" t="s">
        <v>31</v>
      </c>
      <c r="L230" s="4" t="s">
        <v>32</v>
      </c>
      <c r="M230" s="4" t="s">
        <v>33</v>
      </c>
      <c r="N230" s="4" t="s">
        <v>34</v>
      </c>
      <c r="O230" s="4" t="s">
        <v>35</v>
      </c>
      <c r="P230" s="4" t="s">
        <v>1402</v>
      </c>
      <c r="Q230" s="4" t="s">
        <v>1403</v>
      </c>
      <c r="R230" s="4" t="s">
        <v>1356</v>
      </c>
      <c r="S230" s="4" t="s">
        <v>1361</v>
      </c>
      <c r="T230" s="4" t="s">
        <v>1388</v>
      </c>
      <c r="U230" s="4" t="s">
        <v>1389</v>
      </c>
    </row>
    <row r="231" spans="1:21" s="4" customFormat="1" x14ac:dyDescent="0.35">
      <c r="A231" s="4" t="s">
        <v>1412</v>
      </c>
      <c r="B231" s="4" t="s">
        <v>117</v>
      </c>
      <c r="C231" s="4" t="s">
        <v>24</v>
      </c>
      <c r="D231" s="4" t="s">
        <v>1405</v>
      </c>
      <c r="E231" s="4" t="s">
        <v>1356</v>
      </c>
      <c r="G231" s="4" t="s">
        <v>1406</v>
      </c>
      <c r="H231" s="4" t="s">
        <v>1407</v>
      </c>
      <c r="J231" s="4" t="s">
        <v>247</v>
      </c>
      <c r="K231" s="4" t="s">
        <v>31</v>
      </c>
      <c r="L231" s="4" t="s">
        <v>32</v>
      </c>
      <c r="M231" s="4" t="s">
        <v>33</v>
      </c>
      <c r="N231" s="4" t="s">
        <v>34</v>
      </c>
      <c r="O231" s="4" t="s">
        <v>35</v>
      </c>
      <c r="P231" s="4" t="s">
        <v>1408</v>
      </c>
      <c r="Q231" s="4" t="s">
        <v>1409</v>
      </c>
      <c r="R231" s="4" t="s">
        <v>1356</v>
      </c>
      <c r="S231" s="4" t="s">
        <v>1361</v>
      </c>
      <c r="T231" s="4" t="s">
        <v>1410</v>
      </c>
      <c r="U231" s="4" t="s">
        <v>1411</v>
      </c>
    </row>
    <row r="232" spans="1:21" s="4" customFormat="1" x14ac:dyDescent="0.35">
      <c r="A232" s="4" t="s">
        <v>1418</v>
      </c>
      <c r="B232" s="4" t="s">
        <v>117</v>
      </c>
      <c r="C232" s="4" t="s">
        <v>24</v>
      </c>
      <c r="D232" s="4" t="s">
        <v>1413</v>
      </c>
      <c r="E232" s="4" t="s">
        <v>1356</v>
      </c>
      <c r="G232" s="4" t="s">
        <v>1414</v>
      </c>
      <c r="H232" s="4" t="s">
        <v>1415</v>
      </c>
      <c r="J232" s="4" t="s">
        <v>247</v>
      </c>
      <c r="K232" s="4" t="s">
        <v>31</v>
      </c>
      <c r="L232" s="4" t="s">
        <v>32</v>
      </c>
      <c r="M232" s="4" t="s">
        <v>33</v>
      </c>
      <c r="N232" s="4" t="s">
        <v>34</v>
      </c>
      <c r="O232" s="4" t="s">
        <v>35</v>
      </c>
      <c r="P232" s="4" t="s">
        <v>1416</v>
      </c>
      <c r="Q232" s="4" t="s">
        <v>1417</v>
      </c>
      <c r="R232" s="4" t="s">
        <v>1356</v>
      </c>
      <c r="S232" s="4" t="s">
        <v>1361</v>
      </c>
      <c r="T232" s="4" t="s">
        <v>1378</v>
      </c>
      <c r="U232" s="4" t="s">
        <v>1379</v>
      </c>
    </row>
    <row r="233" spans="1:21" s="4" customFormat="1" x14ac:dyDescent="0.35">
      <c r="A233" s="4" t="s">
        <v>1423</v>
      </c>
      <c r="B233" s="4" t="s">
        <v>117</v>
      </c>
      <c r="C233" s="4" t="s">
        <v>24</v>
      </c>
      <c r="D233" s="4" t="s">
        <v>1419</v>
      </c>
      <c r="E233" s="4" t="s">
        <v>1356</v>
      </c>
      <c r="H233" s="4" t="s">
        <v>1420</v>
      </c>
      <c r="J233" s="4" t="s">
        <v>247</v>
      </c>
      <c r="K233" s="4" t="s">
        <v>31</v>
      </c>
      <c r="L233" s="4" t="s">
        <v>32</v>
      </c>
      <c r="M233" s="4" t="s">
        <v>33</v>
      </c>
      <c r="N233" s="4" t="s">
        <v>34</v>
      </c>
      <c r="O233" s="4" t="s">
        <v>35</v>
      </c>
      <c r="P233" s="4" t="s">
        <v>1421</v>
      </c>
      <c r="Q233" s="4" t="s">
        <v>1422</v>
      </c>
      <c r="R233" s="4" t="s">
        <v>1356</v>
      </c>
      <c r="S233" s="4" t="s">
        <v>1361</v>
      </c>
      <c r="T233" s="4" t="s">
        <v>1397</v>
      </c>
      <c r="U233" s="4" t="s">
        <v>1398</v>
      </c>
    </row>
    <row r="234" spans="1:21" s="4" customFormat="1" x14ac:dyDescent="0.35">
      <c r="A234" s="4" t="s">
        <v>1427</v>
      </c>
      <c r="B234" s="4" t="s">
        <v>117</v>
      </c>
      <c r="C234" s="4" t="s">
        <v>24</v>
      </c>
      <c r="D234" s="4" t="s">
        <v>1424</v>
      </c>
      <c r="E234" s="4" t="s">
        <v>1356</v>
      </c>
      <c r="G234" s="4" t="s">
        <v>1425</v>
      </c>
      <c r="H234" s="4" t="s">
        <v>1426</v>
      </c>
      <c r="J234" s="4" t="s">
        <v>247</v>
      </c>
      <c r="K234" s="4" t="s">
        <v>31</v>
      </c>
      <c r="L234" s="4" t="s">
        <v>32</v>
      </c>
      <c r="M234" s="4" t="s">
        <v>33</v>
      </c>
      <c r="N234" s="4" t="s">
        <v>34</v>
      </c>
      <c r="O234" s="4" t="s">
        <v>35</v>
      </c>
      <c r="P234" s="4" t="s">
        <v>1402</v>
      </c>
      <c r="Q234" s="4" t="s">
        <v>1403</v>
      </c>
      <c r="R234" s="4" t="s">
        <v>1356</v>
      </c>
      <c r="S234" s="4" t="s">
        <v>1361</v>
      </c>
      <c r="T234" s="4" t="s">
        <v>1388</v>
      </c>
      <c r="U234" s="4" t="s">
        <v>1389</v>
      </c>
    </row>
    <row r="235" spans="1:21" s="4" customFormat="1" x14ac:dyDescent="0.35">
      <c r="A235" s="4" t="s">
        <v>1434</v>
      </c>
      <c r="B235" s="4" t="s">
        <v>117</v>
      </c>
      <c r="C235" s="4" t="s">
        <v>24</v>
      </c>
      <c r="D235" s="4" t="s">
        <v>1428</v>
      </c>
      <c r="E235" s="4" t="s">
        <v>1356</v>
      </c>
      <c r="H235" s="4" t="s">
        <v>1429</v>
      </c>
      <c r="J235" s="4" t="s">
        <v>247</v>
      </c>
      <c r="K235" s="4" t="s">
        <v>31</v>
      </c>
      <c r="L235" s="4" t="s">
        <v>32</v>
      </c>
      <c r="M235" s="4" t="s">
        <v>33</v>
      </c>
      <c r="N235" s="4" t="s">
        <v>34</v>
      </c>
      <c r="O235" s="4" t="s">
        <v>35</v>
      </c>
      <c r="P235" s="4" t="s">
        <v>1430</v>
      </c>
      <c r="Q235" s="4" t="s">
        <v>1431</v>
      </c>
      <c r="R235" s="4" t="s">
        <v>1356</v>
      </c>
      <c r="S235" s="4" t="s">
        <v>1361</v>
      </c>
      <c r="T235" s="4" t="s">
        <v>1432</v>
      </c>
      <c r="U235" s="4" t="s">
        <v>1433</v>
      </c>
    </row>
    <row r="236" spans="1:21" s="4" customFormat="1" x14ac:dyDescent="0.35">
      <c r="A236" s="4" t="s">
        <v>1443</v>
      </c>
      <c r="B236" s="4" t="s">
        <v>117</v>
      </c>
      <c r="C236" s="4" t="s">
        <v>1435</v>
      </c>
      <c r="D236" s="4" t="s">
        <v>1436</v>
      </c>
      <c r="E236" s="4" t="s">
        <v>1356</v>
      </c>
      <c r="G236" s="4" t="s">
        <v>1437</v>
      </c>
      <c r="H236" s="4" t="s">
        <v>1438</v>
      </c>
      <c r="J236" s="4" t="s">
        <v>247</v>
      </c>
      <c r="K236" s="4" t="s">
        <v>31</v>
      </c>
      <c r="L236" s="4" t="s">
        <v>32</v>
      </c>
      <c r="M236" s="4" t="s">
        <v>33</v>
      </c>
      <c r="N236" s="4" t="s">
        <v>34</v>
      </c>
      <c r="O236" s="4" t="s">
        <v>35</v>
      </c>
      <c r="P236" s="4" t="s">
        <v>1439</v>
      </c>
      <c r="Q236" s="4" t="s">
        <v>1440</v>
      </c>
      <c r="R236" s="4" t="s">
        <v>1356</v>
      </c>
      <c r="S236" s="4" t="s">
        <v>1361</v>
      </c>
      <c r="T236" s="4" t="s">
        <v>1441</v>
      </c>
      <c r="U236" s="4" t="s">
        <v>1442</v>
      </c>
    </row>
    <row r="237" spans="1:21" s="4" customFormat="1" x14ac:dyDescent="0.35">
      <c r="A237" s="4" t="s">
        <v>1450</v>
      </c>
      <c r="B237" s="4" t="s">
        <v>117</v>
      </c>
      <c r="C237" s="4" t="s">
        <v>1435</v>
      </c>
      <c r="D237" s="4" t="s">
        <v>1444</v>
      </c>
      <c r="E237" s="4" t="s">
        <v>1356</v>
      </c>
      <c r="H237" s="4" t="s">
        <v>1445</v>
      </c>
      <c r="J237" s="4" t="s">
        <v>247</v>
      </c>
      <c r="K237" s="4" t="s">
        <v>31</v>
      </c>
      <c r="L237" s="4" t="s">
        <v>32</v>
      </c>
      <c r="M237" s="4" t="s">
        <v>33</v>
      </c>
      <c r="N237" s="4" t="s">
        <v>34</v>
      </c>
      <c r="O237" s="4" t="s">
        <v>35</v>
      </c>
      <c r="P237" s="4" t="s">
        <v>1446</v>
      </c>
      <c r="Q237" s="4" t="s">
        <v>1447</v>
      </c>
      <c r="R237" s="4" t="s">
        <v>1356</v>
      </c>
      <c r="S237" s="4" t="s">
        <v>1361</v>
      </c>
      <c r="T237" s="4" t="s">
        <v>1448</v>
      </c>
      <c r="U237" s="4" t="s">
        <v>1449</v>
      </c>
    </row>
    <row r="238" spans="1:21" s="4" customFormat="1" x14ac:dyDescent="0.35">
      <c r="A238" s="4" t="s">
        <v>1451</v>
      </c>
      <c r="B238" s="4" t="s">
        <v>117</v>
      </c>
      <c r="C238" s="4" t="s">
        <v>209</v>
      </c>
      <c r="D238" s="4" t="s">
        <v>1452</v>
      </c>
      <c r="E238" s="4" t="s">
        <v>1356</v>
      </c>
      <c r="F238" s="4" t="s">
        <v>1453</v>
      </c>
      <c r="G238" s="4" t="s">
        <v>1454</v>
      </c>
      <c r="H238" s="4" t="s">
        <v>1455</v>
      </c>
      <c r="J238" s="4" t="s">
        <v>64</v>
      </c>
      <c r="L238" s="4" t="s">
        <v>32</v>
      </c>
      <c r="M238" s="4" t="s">
        <v>33</v>
      </c>
      <c r="N238" s="4" t="s">
        <v>34</v>
      </c>
      <c r="O238" s="4" t="s">
        <v>35</v>
      </c>
      <c r="P238" s="4" t="s">
        <v>1456</v>
      </c>
      <c r="Q238" s="4" t="s">
        <v>1457</v>
      </c>
      <c r="R238" s="4" t="s">
        <v>1356</v>
      </c>
      <c r="S238" s="4" t="s">
        <v>1361</v>
      </c>
      <c r="T238" s="4" t="s">
        <v>1356</v>
      </c>
      <c r="U238" s="4" t="s">
        <v>1362</v>
      </c>
    </row>
    <row r="239" spans="1:21" s="4" customFormat="1" x14ac:dyDescent="0.35">
      <c r="A239" s="4" t="s">
        <v>1458</v>
      </c>
      <c r="B239" s="4" t="s">
        <v>117</v>
      </c>
      <c r="C239" s="4" t="s">
        <v>24</v>
      </c>
      <c r="D239" s="4" t="s">
        <v>1459</v>
      </c>
      <c r="E239" s="4" t="s">
        <v>1356</v>
      </c>
      <c r="F239" s="4" t="s">
        <v>1460</v>
      </c>
      <c r="H239" s="4" t="s">
        <v>1461</v>
      </c>
      <c r="J239" s="4" t="s">
        <v>1462</v>
      </c>
      <c r="L239" s="4" t="s">
        <v>32</v>
      </c>
      <c r="M239" s="4" t="s">
        <v>33</v>
      </c>
      <c r="N239" s="4" t="s">
        <v>34</v>
      </c>
      <c r="O239" s="4" t="s">
        <v>35</v>
      </c>
      <c r="P239" s="4" t="s">
        <v>1463</v>
      </c>
      <c r="Q239" s="4" t="s">
        <v>1464</v>
      </c>
      <c r="R239" s="4" t="s">
        <v>1356</v>
      </c>
      <c r="S239" s="4" t="s">
        <v>1361</v>
      </c>
      <c r="T239" s="4" t="s">
        <v>1356</v>
      </c>
      <c r="U239" s="4" t="s">
        <v>1362</v>
      </c>
    </row>
    <row r="240" spans="1:21" s="4" customFormat="1" x14ac:dyDescent="0.35">
      <c r="A240" s="4" t="s">
        <v>1465</v>
      </c>
      <c r="B240" s="4" t="s">
        <v>23</v>
      </c>
      <c r="C240" s="4" t="s">
        <v>24</v>
      </c>
      <c r="D240" s="4" t="s">
        <v>1466</v>
      </c>
      <c r="E240" s="4" t="s">
        <v>1356</v>
      </c>
      <c r="G240" s="4" t="s">
        <v>1467</v>
      </c>
      <c r="H240" s="4" t="s">
        <v>1468</v>
      </c>
      <c r="J240" s="4" t="s">
        <v>64</v>
      </c>
      <c r="L240" s="4" t="s">
        <v>32</v>
      </c>
      <c r="M240" s="4" t="s">
        <v>33</v>
      </c>
      <c r="N240" s="4" t="s">
        <v>34</v>
      </c>
      <c r="O240" s="4" t="s">
        <v>239</v>
      </c>
      <c r="P240" s="4" t="s">
        <v>1469</v>
      </c>
      <c r="Q240" s="4" t="s">
        <v>1470</v>
      </c>
      <c r="R240" s="4" t="s">
        <v>1356</v>
      </c>
      <c r="S240" s="4" t="s">
        <v>1361</v>
      </c>
      <c r="T240" s="4" t="s">
        <v>1356</v>
      </c>
      <c r="U240" s="4" t="s">
        <v>1362</v>
      </c>
    </row>
    <row r="241" spans="1:21" s="4" customFormat="1" x14ac:dyDescent="0.35">
      <c r="A241" s="4" t="s">
        <v>1471</v>
      </c>
      <c r="B241" s="4" t="s">
        <v>117</v>
      </c>
      <c r="C241" s="4" t="s">
        <v>24</v>
      </c>
      <c r="D241" s="4" t="s">
        <v>1472</v>
      </c>
      <c r="E241" s="4" t="s">
        <v>1356</v>
      </c>
      <c r="H241" s="4" t="s">
        <v>1473</v>
      </c>
      <c r="J241" s="4" t="s">
        <v>1474</v>
      </c>
      <c r="K241" s="4" t="s">
        <v>2243</v>
      </c>
      <c r="L241" s="4" t="s">
        <v>32</v>
      </c>
      <c r="M241" s="4" t="s">
        <v>33</v>
      </c>
      <c r="N241" s="4" t="s">
        <v>34</v>
      </c>
      <c r="O241" s="4" t="s">
        <v>239</v>
      </c>
      <c r="P241" s="4" t="s">
        <v>1475</v>
      </c>
      <c r="Q241" s="4" t="s">
        <v>1476</v>
      </c>
      <c r="R241" s="4" t="s">
        <v>1356</v>
      </c>
      <c r="S241" s="4" t="s">
        <v>1361</v>
      </c>
      <c r="T241" s="4" t="s">
        <v>1356</v>
      </c>
      <c r="U241" s="4" t="s">
        <v>1362</v>
      </c>
    </row>
    <row r="242" spans="1:21" s="4" customFormat="1" x14ac:dyDescent="0.35">
      <c r="A242" s="4" t="s">
        <v>1481</v>
      </c>
      <c r="B242" s="4" t="s">
        <v>117</v>
      </c>
      <c r="C242" s="4" t="s">
        <v>24</v>
      </c>
      <c r="D242" s="4" t="s">
        <v>1477</v>
      </c>
      <c r="E242" s="4" t="s">
        <v>1356</v>
      </c>
      <c r="H242" s="4" t="s">
        <v>1478</v>
      </c>
      <c r="J242" s="4" t="s">
        <v>922</v>
      </c>
      <c r="K242" s="4" t="s">
        <v>2243</v>
      </c>
      <c r="L242" s="4" t="s">
        <v>32</v>
      </c>
      <c r="M242" s="4" t="s">
        <v>33</v>
      </c>
      <c r="N242" s="4" t="s">
        <v>34</v>
      </c>
      <c r="O242" s="4" t="s">
        <v>239</v>
      </c>
      <c r="P242" s="4" t="s">
        <v>1479</v>
      </c>
      <c r="Q242" s="4" t="s">
        <v>1480</v>
      </c>
      <c r="R242" s="4" t="s">
        <v>1356</v>
      </c>
      <c r="S242" s="4" t="s">
        <v>1361</v>
      </c>
      <c r="T242" s="4" t="s">
        <v>1356</v>
      </c>
      <c r="U242" s="4" t="s">
        <v>1362</v>
      </c>
    </row>
    <row r="243" spans="1:21" s="4" customFormat="1" x14ac:dyDescent="0.35">
      <c r="A243" s="4" t="s">
        <v>1482</v>
      </c>
      <c r="B243" s="4" t="s">
        <v>117</v>
      </c>
      <c r="C243" s="4" t="s">
        <v>24</v>
      </c>
      <c r="D243" s="4" t="s">
        <v>1472</v>
      </c>
      <c r="E243" s="4" t="s">
        <v>1356</v>
      </c>
      <c r="H243" s="4" t="s">
        <v>1483</v>
      </c>
      <c r="J243" s="4" t="s">
        <v>968</v>
      </c>
      <c r="K243" s="4" t="s">
        <v>2243</v>
      </c>
      <c r="L243" s="4" t="s">
        <v>32</v>
      </c>
      <c r="M243" s="4" t="s">
        <v>33</v>
      </c>
      <c r="N243" s="4" t="s">
        <v>34</v>
      </c>
      <c r="O243" s="4" t="s">
        <v>239</v>
      </c>
      <c r="P243" s="4" t="s">
        <v>1484</v>
      </c>
      <c r="Q243" s="4" t="s">
        <v>1485</v>
      </c>
      <c r="R243" s="4" t="s">
        <v>1356</v>
      </c>
      <c r="S243" s="4" t="s">
        <v>1361</v>
      </c>
      <c r="T243" s="4" t="s">
        <v>1356</v>
      </c>
      <c r="U243" s="4" t="s">
        <v>1362</v>
      </c>
    </row>
    <row r="244" spans="1:21" s="4" customFormat="1" x14ac:dyDescent="0.35">
      <c r="A244" s="4" t="s">
        <v>1486</v>
      </c>
      <c r="B244" s="4" t="s">
        <v>117</v>
      </c>
      <c r="C244" s="4" t="s">
        <v>24</v>
      </c>
      <c r="D244" s="4" t="s">
        <v>1472</v>
      </c>
      <c r="E244" s="4" t="s">
        <v>1356</v>
      </c>
      <c r="H244" s="4" t="s">
        <v>1487</v>
      </c>
      <c r="J244" s="4" t="s">
        <v>968</v>
      </c>
      <c r="K244" s="4" t="s">
        <v>2243</v>
      </c>
      <c r="L244" s="4" t="s">
        <v>32</v>
      </c>
      <c r="M244" s="4" t="s">
        <v>33</v>
      </c>
      <c r="N244" s="4" t="s">
        <v>34</v>
      </c>
      <c r="O244" s="4" t="s">
        <v>239</v>
      </c>
      <c r="P244" s="4" t="s">
        <v>1488</v>
      </c>
      <c r="Q244" s="4" t="s">
        <v>1489</v>
      </c>
      <c r="R244" s="4" t="s">
        <v>1356</v>
      </c>
      <c r="S244" s="4" t="s">
        <v>1361</v>
      </c>
      <c r="T244" s="4" t="s">
        <v>1356</v>
      </c>
      <c r="U244" s="4" t="s">
        <v>1362</v>
      </c>
    </row>
    <row r="245" spans="1:21" s="4" customFormat="1" x14ac:dyDescent="0.35">
      <c r="A245" s="4" t="s">
        <v>1494</v>
      </c>
      <c r="B245" s="4" t="s">
        <v>117</v>
      </c>
      <c r="C245" s="4" t="s">
        <v>24</v>
      </c>
      <c r="D245" s="4" t="s">
        <v>1490</v>
      </c>
      <c r="E245" s="4" t="s">
        <v>1356</v>
      </c>
      <c r="H245" s="4" t="s">
        <v>1491</v>
      </c>
      <c r="J245" s="4" t="s">
        <v>906</v>
      </c>
      <c r="K245" s="4" t="s">
        <v>2243</v>
      </c>
      <c r="L245" s="4" t="s">
        <v>32</v>
      </c>
      <c r="M245" s="4" t="s">
        <v>33</v>
      </c>
      <c r="N245" s="4" t="s">
        <v>34</v>
      </c>
      <c r="O245" s="4" t="s">
        <v>239</v>
      </c>
      <c r="P245" s="4" t="s">
        <v>1492</v>
      </c>
      <c r="Q245" s="4" t="s">
        <v>1493</v>
      </c>
      <c r="R245" s="4" t="s">
        <v>1356</v>
      </c>
      <c r="S245" s="4" t="s">
        <v>1361</v>
      </c>
      <c r="T245" s="4" t="s">
        <v>1356</v>
      </c>
      <c r="U245" s="4" t="s">
        <v>1362</v>
      </c>
    </row>
    <row r="246" spans="1:21" s="4" customFormat="1" x14ac:dyDescent="0.35">
      <c r="A246" s="4" t="s">
        <v>1495</v>
      </c>
      <c r="B246" s="4" t="s">
        <v>117</v>
      </c>
      <c r="C246" s="4" t="s">
        <v>24</v>
      </c>
      <c r="D246" s="4" t="s">
        <v>1496</v>
      </c>
      <c r="E246" s="4" t="s">
        <v>1356</v>
      </c>
      <c r="H246" s="4" t="s">
        <v>1497</v>
      </c>
      <c r="J246" s="4" t="s">
        <v>968</v>
      </c>
      <c r="K246" s="4" t="s">
        <v>2243</v>
      </c>
      <c r="L246" s="4" t="s">
        <v>32</v>
      </c>
      <c r="M246" s="4" t="s">
        <v>33</v>
      </c>
      <c r="N246" s="4" t="s">
        <v>34</v>
      </c>
      <c r="O246" s="4" t="s">
        <v>239</v>
      </c>
      <c r="P246" s="4" t="s">
        <v>1498</v>
      </c>
      <c r="Q246" s="4" t="s">
        <v>1499</v>
      </c>
      <c r="R246" s="4" t="s">
        <v>1356</v>
      </c>
      <c r="S246" s="4" t="s">
        <v>1361</v>
      </c>
      <c r="T246" s="4" t="s">
        <v>1356</v>
      </c>
      <c r="U246" s="4" t="s">
        <v>1362</v>
      </c>
    </row>
    <row r="247" spans="1:21" s="4" customFormat="1" x14ac:dyDescent="0.35">
      <c r="A247" s="4" t="s">
        <v>1500</v>
      </c>
      <c r="B247" s="4" t="s">
        <v>23</v>
      </c>
      <c r="C247" s="4" t="s">
        <v>24</v>
      </c>
      <c r="D247" s="4" t="s">
        <v>1501</v>
      </c>
      <c r="E247" s="4" t="s">
        <v>1356</v>
      </c>
      <c r="H247" s="4" t="s">
        <v>1502</v>
      </c>
      <c r="J247" s="4" t="s">
        <v>922</v>
      </c>
      <c r="K247" s="4" t="s">
        <v>2242</v>
      </c>
      <c r="L247" s="4" t="s">
        <v>32</v>
      </c>
      <c r="M247" s="4" t="s">
        <v>33</v>
      </c>
      <c r="N247" s="4" t="s">
        <v>34</v>
      </c>
      <c r="O247" s="4" t="s">
        <v>239</v>
      </c>
      <c r="P247" s="4" t="s">
        <v>1503</v>
      </c>
      <c r="Q247" s="4" t="s">
        <v>1504</v>
      </c>
      <c r="R247" s="4" t="s">
        <v>1356</v>
      </c>
      <c r="S247" s="4" t="s">
        <v>1361</v>
      </c>
      <c r="T247" s="4" t="s">
        <v>1397</v>
      </c>
      <c r="U247" s="4" t="s">
        <v>1398</v>
      </c>
    </row>
    <row r="248" spans="1:21" s="4" customFormat="1" x14ac:dyDescent="0.35">
      <c r="A248" s="4" t="s">
        <v>1509</v>
      </c>
      <c r="B248" s="4" t="s">
        <v>117</v>
      </c>
      <c r="C248" s="4" t="s">
        <v>118</v>
      </c>
      <c r="D248" s="4" t="s">
        <v>1472</v>
      </c>
      <c r="E248" s="4" t="s">
        <v>1356</v>
      </c>
      <c r="H248" s="4" t="s">
        <v>1505</v>
      </c>
      <c r="J248" s="4" t="s">
        <v>1506</v>
      </c>
      <c r="K248" s="4" t="s">
        <v>2243</v>
      </c>
      <c r="L248" s="4" t="s">
        <v>32</v>
      </c>
      <c r="M248" s="4" t="s">
        <v>33</v>
      </c>
      <c r="N248" s="4" t="s">
        <v>34</v>
      </c>
      <c r="O248" s="4" t="s">
        <v>239</v>
      </c>
      <c r="P248" s="4" t="s">
        <v>1507</v>
      </c>
      <c r="Q248" s="4" t="s">
        <v>1508</v>
      </c>
      <c r="R248" s="4" t="s">
        <v>1356</v>
      </c>
      <c r="S248" s="4" t="s">
        <v>1361</v>
      </c>
      <c r="T248" s="4" t="s">
        <v>1356</v>
      </c>
      <c r="U248" s="4" t="s">
        <v>1362</v>
      </c>
    </row>
    <row r="249" spans="1:21" s="4" customFormat="1" x14ac:dyDescent="0.35">
      <c r="A249" s="4" t="s">
        <v>1510</v>
      </c>
      <c r="B249" s="4" t="s">
        <v>117</v>
      </c>
      <c r="C249" s="4" t="s">
        <v>118</v>
      </c>
      <c r="D249" s="4" t="s">
        <v>1472</v>
      </c>
      <c r="E249" s="4" t="s">
        <v>1356</v>
      </c>
      <c r="H249" s="4" t="s">
        <v>1511</v>
      </c>
      <c r="J249" s="4" t="s">
        <v>922</v>
      </c>
      <c r="K249" s="4" t="s">
        <v>2242</v>
      </c>
      <c r="L249" s="4" t="s">
        <v>32</v>
      </c>
      <c r="M249" s="4" t="s">
        <v>33</v>
      </c>
      <c r="N249" s="4" t="s">
        <v>34</v>
      </c>
      <c r="O249" s="4" t="s">
        <v>239</v>
      </c>
      <c r="P249" s="4" t="s">
        <v>1512</v>
      </c>
      <c r="Q249" s="4" t="s">
        <v>1513</v>
      </c>
      <c r="R249" s="4" t="s">
        <v>1356</v>
      </c>
      <c r="S249" s="4" t="s">
        <v>1361</v>
      </c>
      <c r="T249" s="4" t="s">
        <v>1356</v>
      </c>
      <c r="U249" s="4" t="s">
        <v>1362</v>
      </c>
    </row>
    <row r="250" spans="1:21" s="4" customFormat="1" x14ac:dyDescent="0.35">
      <c r="A250" s="4" t="s">
        <v>1514</v>
      </c>
      <c r="B250" s="4" t="s">
        <v>117</v>
      </c>
      <c r="C250" s="4" t="s">
        <v>118</v>
      </c>
      <c r="D250" s="4" t="s">
        <v>1515</v>
      </c>
      <c r="E250" s="4" t="s">
        <v>1356</v>
      </c>
      <c r="H250" s="4" t="s">
        <v>1516</v>
      </c>
      <c r="J250" s="4" t="s">
        <v>968</v>
      </c>
      <c r="K250" s="4" t="s">
        <v>2242</v>
      </c>
      <c r="L250" s="4" t="s">
        <v>32</v>
      </c>
      <c r="M250" s="4" t="s">
        <v>33</v>
      </c>
      <c r="N250" s="4" t="s">
        <v>34</v>
      </c>
      <c r="O250" s="4" t="s">
        <v>239</v>
      </c>
      <c r="P250" s="4" t="s">
        <v>1517</v>
      </c>
      <c r="Q250" s="4" t="s">
        <v>1518</v>
      </c>
      <c r="R250" s="4" t="s">
        <v>1356</v>
      </c>
      <c r="S250" s="4" t="s">
        <v>1361</v>
      </c>
      <c r="T250" s="4" t="s">
        <v>1356</v>
      </c>
      <c r="U250" s="4" t="s">
        <v>1362</v>
      </c>
    </row>
    <row r="251" spans="1:21" s="4" customFormat="1" x14ac:dyDescent="0.35">
      <c r="A251" s="4" t="s">
        <v>1523</v>
      </c>
      <c r="B251" s="4" t="s">
        <v>117</v>
      </c>
      <c r="C251" s="4" t="s">
        <v>24</v>
      </c>
      <c r="D251" s="4" t="s">
        <v>1472</v>
      </c>
      <c r="E251" s="4" t="s">
        <v>1356</v>
      </c>
      <c r="G251" s="4" t="s">
        <v>1519</v>
      </c>
      <c r="H251" s="4" t="s">
        <v>1520</v>
      </c>
      <c r="J251" s="4" t="s">
        <v>1506</v>
      </c>
      <c r="K251" s="4" t="s">
        <v>2242</v>
      </c>
      <c r="L251" s="4" t="s">
        <v>32</v>
      </c>
      <c r="M251" s="4" t="s">
        <v>33</v>
      </c>
      <c r="N251" s="4" t="s">
        <v>34</v>
      </c>
      <c r="O251" s="4" t="s">
        <v>239</v>
      </c>
      <c r="P251" s="4" t="s">
        <v>1521</v>
      </c>
      <c r="Q251" s="4" t="s">
        <v>1522</v>
      </c>
      <c r="R251" s="4" t="s">
        <v>1356</v>
      </c>
      <c r="S251" s="4" t="s">
        <v>1361</v>
      </c>
      <c r="T251" s="4" t="s">
        <v>1356</v>
      </c>
      <c r="U251" s="4" t="s">
        <v>1362</v>
      </c>
    </row>
    <row r="252" spans="1:21" s="4" customFormat="1" x14ac:dyDescent="0.35">
      <c r="A252" s="4" t="s">
        <v>1524</v>
      </c>
      <c r="B252" s="4" t="s">
        <v>117</v>
      </c>
      <c r="C252" s="4" t="s">
        <v>152</v>
      </c>
      <c r="D252" s="4" t="s">
        <v>1525</v>
      </c>
      <c r="E252" s="4" t="s">
        <v>1356</v>
      </c>
      <c r="H252" s="4" t="s">
        <v>1526</v>
      </c>
      <c r="J252" s="4" t="s">
        <v>1527</v>
      </c>
      <c r="K252" s="4" t="s">
        <v>2243</v>
      </c>
      <c r="L252" s="4" t="s">
        <v>32</v>
      </c>
      <c r="M252" s="4" t="s">
        <v>33</v>
      </c>
      <c r="N252" s="4" t="s">
        <v>34</v>
      </c>
      <c r="O252" s="4" t="s">
        <v>239</v>
      </c>
      <c r="P252" s="4" t="s">
        <v>1528</v>
      </c>
      <c r="Q252" s="4" t="s">
        <v>1529</v>
      </c>
      <c r="R252" s="4" t="s">
        <v>1356</v>
      </c>
      <c r="S252" s="4" t="s">
        <v>1361</v>
      </c>
      <c r="T252" s="4" t="s">
        <v>1356</v>
      </c>
      <c r="U252" s="4" t="s">
        <v>1362</v>
      </c>
    </row>
    <row r="253" spans="1:21" s="4" customFormat="1" x14ac:dyDescent="0.35">
      <c r="A253" s="4" t="s">
        <v>1534</v>
      </c>
      <c r="B253" s="4" t="s">
        <v>117</v>
      </c>
      <c r="C253" s="4" t="s">
        <v>24</v>
      </c>
      <c r="D253" s="4" t="s">
        <v>1530</v>
      </c>
      <c r="E253" s="4" t="s">
        <v>1356</v>
      </c>
      <c r="H253" s="4" t="s">
        <v>1531</v>
      </c>
      <c r="J253" s="4" t="s">
        <v>247</v>
      </c>
      <c r="K253" s="4" t="s">
        <v>2243</v>
      </c>
      <c r="L253" s="4" t="s">
        <v>32</v>
      </c>
      <c r="M253" s="4" t="s">
        <v>33</v>
      </c>
      <c r="N253" s="4" t="s">
        <v>34</v>
      </c>
      <c r="O253" s="4" t="s">
        <v>239</v>
      </c>
      <c r="P253" s="4" t="s">
        <v>1532</v>
      </c>
      <c r="Q253" s="4" t="s">
        <v>1533</v>
      </c>
      <c r="R253" s="4" t="s">
        <v>1356</v>
      </c>
      <c r="S253" s="4" t="s">
        <v>1361</v>
      </c>
      <c r="T253" s="4" t="s">
        <v>1356</v>
      </c>
      <c r="U253" s="4" t="s">
        <v>1362</v>
      </c>
    </row>
    <row r="254" spans="1:21" s="4" customFormat="1" x14ac:dyDescent="0.35">
      <c r="A254" s="4" t="s">
        <v>1535</v>
      </c>
      <c r="B254" s="4" t="s">
        <v>117</v>
      </c>
      <c r="C254" s="4" t="s">
        <v>24</v>
      </c>
      <c r="D254" s="4" t="s">
        <v>1536</v>
      </c>
      <c r="E254" s="4" t="s">
        <v>1356</v>
      </c>
      <c r="H254" s="4" t="s">
        <v>1537</v>
      </c>
      <c r="J254" s="4" t="s">
        <v>207</v>
      </c>
      <c r="K254" s="4" t="s">
        <v>2243</v>
      </c>
      <c r="L254" s="4" t="s">
        <v>32</v>
      </c>
      <c r="M254" s="4" t="s">
        <v>33</v>
      </c>
      <c r="N254" s="4" t="s">
        <v>34</v>
      </c>
      <c r="O254" s="4" t="s">
        <v>239</v>
      </c>
      <c r="P254" s="4" t="s">
        <v>1538</v>
      </c>
      <c r="Q254" s="4" t="s">
        <v>1539</v>
      </c>
      <c r="R254" s="4" t="s">
        <v>1356</v>
      </c>
      <c r="S254" s="4" t="s">
        <v>1361</v>
      </c>
      <c r="T254" s="4" t="s">
        <v>1397</v>
      </c>
      <c r="U254" s="4" t="s">
        <v>1398</v>
      </c>
    </row>
    <row r="255" spans="1:21" s="4" customFormat="1" x14ac:dyDescent="0.35">
      <c r="A255" s="4" t="s">
        <v>1540</v>
      </c>
      <c r="B255" s="4" t="s">
        <v>117</v>
      </c>
      <c r="C255" s="4" t="s">
        <v>24</v>
      </c>
      <c r="D255" s="4" t="s">
        <v>1541</v>
      </c>
      <c r="E255" s="4" t="s">
        <v>1356</v>
      </c>
      <c r="H255" s="4" t="s">
        <v>1542</v>
      </c>
      <c r="J255" s="4" t="s">
        <v>1543</v>
      </c>
      <c r="K255" s="4" t="s">
        <v>2243</v>
      </c>
      <c r="L255" s="4" t="s">
        <v>32</v>
      </c>
      <c r="M255" s="4" t="s">
        <v>33</v>
      </c>
      <c r="N255" s="4" t="s">
        <v>34</v>
      </c>
      <c r="O255" s="4" t="s">
        <v>239</v>
      </c>
      <c r="P255" s="4" t="s">
        <v>1544</v>
      </c>
      <c r="Q255" s="4" t="s">
        <v>1545</v>
      </c>
      <c r="R255" s="4" t="s">
        <v>1356</v>
      </c>
      <c r="S255" s="4" t="s">
        <v>1361</v>
      </c>
      <c r="T255" s="4" t="s">
        <v>1397</v>
      </c>
      <c r="U255" s="4" t="s">
        <v>1398</v>
      </c>
    </row>
    <row r="256" spans="1:21" s="4" customFormat="1" x14ac:dyDescent="0.35">
      <c r="A256" s="4" t="s">
        <v>1546</v>
      </c>
      <c r="B256" s="4" t="s">
        <v>117</v>
      </c>
      <c r="C256" s="4" t="s">
        <v>24</v>
      </c>
      <c r="D256" s="4" t="s">
        <v>1547</v>
      </c>
      <c r="E256" s="4" t="s">
        <v>1356</v>
      </c>
      <c r="H256" s="4" t="s">
        <v>1548</v>
      </c>
      <c r="J256" s="4" t="s">
        <v>1189</v>
      </c>
      <c r="K256" s="4" t="s">
        <v>2243</v>
      </c>
      <c r="L256" s="4" t="s">
        <v>32</v>
      </c>
      <c r="M256" s="4" t="s">
        <v>33</v>
      </c>
      <c r="N256" s="4" t="s">
        <v>34</v>
      </c>
      <c r="O256" s="4" t="s">
        <v>239</v>
      </c>
      <c r="P256" s="4" t="s">
        <v>1549</v>
      </c>
      <c r="Q256" s="4" t="s">
        <v>1550</v>
      </c>
      <c r="R256" s="4" t="s">
        <v>1356</v>
      </c>
      <c r="S256" s="4" t="s">
        <v>1361</v>
      </c>
      <c r="T256" s="4" t="s">
        <v>1378</v>
      </c>
      <c r="U256" s="4" t="s">
        <v>1379</v>
      </c>
    </row>
    <row r="257" spans="1:21" s="4" customFormat="1" x14ac:dyDescent="0.35">
      <c r="A257" s="4" t="s">
        <v>1551</v>
      </c>
      <c r="B257" s="4" t="s">
        <v>117</v>
      </c>
      <c r="C257" s="4" t="s">
        <v>24</v>
      </c>
      <c r="D257" s="4" t="s">
        <v>1552</v>
      </c>
      <c r="E257" s="4" t="s">
        <v>1356</v>
      </c>
      <c r="H257" s="4" t="s">
        <v>1553</v>
      </c>
      <c r="J257" s="4" t="s">
        <v>207</v>
      </c>
      <c r="K257" s="4" t="s">
        <v>2243</v>
      </c>
      <c r="L257" s="4" t="s">
        <v>32</v>
      </c>
      <c r="M257" s="4" t="s">
        <v>33</v>
      </c>
      <c r="N257" s="4" t="s">
        <v>34</v>
      </c>
      <c r="O257" s="4" t="s">
        <v>239</v>
      </c>
      <c r="P257" s="4" t="s">
        <v>1554</v>
      </c>
      <c r="Q257" s="4" t="s">
        <v>1555</v>
      </c>
      <c r="R257" s="4" t="s">
        <v>1356</v>
      </c>
      <c r="S257" s="4" t="s">
        <v>1361</v>
      </c>
      <c r="T257" s="4" t="s">
        <v>1441</v>
      </c>
      <c r="U257" s="4" t="s">
        <v>1442</v>
      </c>
    </row>
    <row r="258" spans="1:21" s="4" customFormat="1" x14ac:dyDescent="0.35">
      <c r="A258" s="4" t="s">
        <v>1556</v>
      </c>
      <c r="B258" s="4" t="s">
        <v>117</v>
      </c>
      <c r="C258" s="4" t="s">
        <v>24</v>
      </c>
      <c r="D258" s="4" t="s">
        <v>1557</v>
      </c>
      <c r="E258" s="4" t="s">
        <v>1356</v>
      </c>
      <c r="H258" s="4" t="s">
        <v>1558</v>
      </c>
      <c r="J258" s="4" t="s">
        <v>1189</v>
      </c>
      <c r="K258" s="4" t="s">
        <v>2243</v>
      </c>
      <c r="L258" s="4" t="s">
        <v>32</v>
      </c>
      <c r="M258" s="4" t="s">
        <v>33</v>
      </c>
      <c r="N258" s="4" t="s">
        <v>34</v>
      </c>
      <c r="O258" s="4" t="s">
        <v>239</v>
      </c>
      <c r="P258" s="4" t="s">
        <v>1559</v>
      </c>
      <c r="Q258" s="4" t="s">
        <v>1560</v>
      </c>
      <c r="R258" s="4" t="s">
        <v>1356</v>
      </c>
      <c r="S258" s="4" t="s">
        <v>1361</v>
      </c>
      <c r="T258" s="4" t="s">
        <v>1378</v>
      </c>
      <c r="U258" s="4" t="s">
        <v>1379</v>
      </c>
    </row>
    <row r="259" spans="1:21" s="4" customFormat="1" x14ac:dyDescent="0.35">
      <c r="A259" s="4" t="s">
        <v>1561</v>
      </c>
      <c r="B259" s="4" t="s">
        <v>117</v>
      </c>
      <c r="C259" s="4" t="s">
        <v>24</v>
      </c>
      <c r="D259" s="4" t="s">
        <v>1562</v>
      </c>
      <c r="E259" s="4" t="s">
        <v>1356</v>
      </c>
      <c r="H259" s="4" t="s">
        <v>1563</v>
      </c>
      <c r="L259" s="4" t="s">
        <v>32</v>
      </c>
      <c r="M259" s="4" t="s">
        <v>33</v>
      </c>
      <c r="N259" s="4" t="s">
        <v>34</v>
      </c>
      <c r="O259" s="4" t="s">
        <v>239</v>
      </c>
      <c r="P259" s="4" t="s">
        <v>1564</v>
      </c>
      <c r="Q259" s="4" t="s">
        <v>1565</v>
      </c>
      <c r="R259" s="4" t="s">
        <v>1356</v>
      </c>
      <c r="S259" s="4" t="s">
        <v>1361</v>
      </c>
      <c r="T259" s="4" t="s">
        <v>1378</v>
      </c>
      <c r="U259" s="4" t="s">
        <v>1379</v>
      </c>
    </row>
    <row r="260" spans="1:21" s="4" customFormat="1" x14ac:dyDescent="0.35">
      <c r="A260" s="4" t="s">
        <v>1566</v>
      </c>
      <c r="B260" s="4" t="s">
        <v>117</v>
      </c>
      <c r="C260" s="4" t="s">
        <v>24</v>
      </c>
      <c r="D260" s="4" t="s">
        <v>1567</v>
      </c>
      <c r="E260" s="4" t="s">
        <v>1356</v>
      </c>
      <c r="H260" s="4" t="s">
        <v>1568</v>
      </c>
      <c r="J260" s="4" t="s">
        <v>916</v>
      </c>
      <c r="K260" s="4" t="s">
        <v>2243</v>
      </c>
      <c r="L260" s="4" t="s">
        <v>32</v>
      </c>
      <c r="M260" s="4" t="s">
        <v>33</v>
      </c>
      <c r="N260" s="4" t="s">
        <v>34</v>
      </c>
      <c r="O260" s="4" t="s">
        <v>239</v>
      </c>
      <c r="P260" s="4" t="s">
        <v>1569</v>
      </c>
      <c r="Q260" s="4" t="s">
        <v>1570</v>
      </c>
      <c r="R260" s="4" t="s">
        <v>1356</v>
      </c>
      <c r="S260" s="4" t="s">
        <v>1361</v>
      </c>
      <c r="T260" s="4" t="s">
        <v>1388</v>
      </c>
      <c r="U260" s="4" t="s">
        <v>1389</v>
      </c>
    </row>
    <row r="261" spans="1:21" s="4" customFormat="1" x14ac:dyDescent="0.35">
      <c r="A261" s="4" t="s">
        <v>1571</v>
      </c>
      <c r="B261" s="4" t="s">
        <v>23</v>
      </c>
      <c r="C261" s="4" t="s">
        <v>24</v>
      </c>
      <c r="D261" s="4" t="s">
        <v>1572</v>
      </c>
      <c r="E261" s="4" t="s">
        <v>1356</v>
      </c>
      <c r="H261" s="4" t="s">
        <v>1573</v>
      </c>
      <c r="J261" s="4" t="s">
        <v>1270</v>
      </c>
      <c r="K261" s="4" t="s">
        <v>2243</v>
      </c>
      <c r="L261" s="4" t="s">
        <v>32</v>
      </c>
      <c r="M261" s="4" t="s">
        <v>33</v>
      </c>
      <c r="N261" s="4" t="s">
        <v>34</v>
      </c>
      <c r="O261" s="4" t="s">
        <v>239</v>
      </c>
      <c r="P261" s="4" t="s">
        <v>1574</v>
      </c>
      <c r="Q261" s="4" t="s">
        <v>1575</v>
      </c>
      <c r="R261" s="4" t="s">
        <v>1356</v>
      </c>
      <c r="S261" s="4" t="s">
        <v>1361</v>
      </c>
      <c r="T261" s="4" t="s">
        <v>1441</v>
      </c>
      <c r="U261" s="4" t="s">
        <v>1442</v>
      </c>
    </row>
    <row r="262" spans="1:21" s="4" customFormat="1" x14ac:dyDescent="0.35">
      <c r="A262" s="4" t="s">
        <v>1576</v>
      </c>
      <c r="B262" s="4" t="s">
        <v>117</v>
      </c>
      <c r="C262" s="4" t="s">
        <v>24</v>
      </c>
      <c r="D262" s="4" t="s">
        <v>1577</v>
      </c>
      <c r="E262" s="4" t="s">
        <v>1356</v>
      </c>
      <c r="H262" s="4" t="s">
        <v>1578</v>
      </c>
      <c r="J262" s="4" t="s">
        <v>916</v>
      </c>
      <c r="K262" s="4" t="s">
        <v>2243</v>
      </c>
      <c r="L262" s="4" t="s">
        <v>32</v>
      </c>
      <c r="M262" s="4" t="s">
        <v>33</v>
      </c>
      <c r="N262" s="4" t="s">
        <v>34</v>
      </c>
      <c r="O262" s="4" t="s">
        <v>239</v>
      </c>
      <c r="P262" s="4" t="s">
        <v>1579</v>
      </c>
      <c r="Q262" s="4" t="s">
        <v>1580</v>
      </c>
      <c r="R262" s="4" t="s">
        <v>1356</v>
      </c>
      <c r="S262" s="4" t="s">
        <v>1361</v>
      </c>
      <c r="T262" s="4" t="s">
        <v>1448</v>
      </c>
      <c r="U262" s="4" t="s">
        <v>1449</v>
      </c>
    </row>
    <row r="263" spans="1:21" s="4" customFormat="1" x14ac:dyDescent="0.35">
      <c r="A263" s="4" t="s">
        <v>1585</v>
      </c>
      <c r="B263" s="4" t="s">
        <v>117</v>
      </c>
      <c r="C263" s="4" t="s">
        <v>24</v>
      </c>
      <c r="D263" s="4" t="s">
        <v>1581</v>
      </c>
      <c r="E263" s="4" t="s">
        <v>1356</v>
      </c>
      <c r="H263" s="4" t="s">
        <v>1582</v>
      </c>
      <c r="J263" s="4" t="s">
        <v>916</v>
      </c>
      <c r="K263" s="4" t="s">
        <v>2243</v>
      </c>
      <c r="L263" s="4" t="s">
        <v>32</v>
      </c>
      <c r="M263" s="4" t="s">
        <v>33</v>
      </c>
      <c r="N263" s="4" t="s">
        <v>34</v>
      </c>
      <c r="O263" s="4" t="s">
        <v>239</v>
      </c>
      <c r="P263" s="4" t="s">
        <v>1583</v>
      </c>
      <c r="Q263" s="4" t="s">
        <v>1584</v>
      </c>
      <c r="R263" s="4" t="s">
        <v>1356</v>
      </c>
      <c r="S263" s="4" t="s">
        <v>1361</v>
      </c>
      <c r="T263" s="4" t="s">
        <v>1397</v>
      </c>
      <c r="U263" s="4" t="s">
        <v>1398</v>
      </c>
    </row>
    <row r="264" spans="1:21" s="4" customFormat="1" x14ac:dyDescent="0.35">
      <c r="A264" s="4" t="s">
        <v>1586</v>
      </c>
      <c r="B264" s="4" t="s">
        <v>117</v>
      </c>
      <c r="C264" s="4" t="s">
        <v>152</v>
      </c>
      <c r="D264" s="4" t="s">
        <v>1587</v>
      </c>
      <c r="E264" s="4" t="s">
        <v>1356</v>
      </c>
      <c r="H264" s="4" t="s">
        <v>1588</v>
      </c>
      <c r="J264" s="4" t="s">
        <v>1589</v>
      </c>
      <c r="K264" s="4" t="s">
        <v>2243</v>
      </c>
      <c r="L264" s="4" t="s">
        <v>32</v>
      </c>
      <c r="M264" s="4" t="s">
        <v>33</v>
      </c>
      <c r="N264" s="4" t="s">
        <v>34</v>
      </c>
      <c r="O264" s="4" t="s">
        <v>239</v>
      </c>
      <c r="P264" s="4" t="s">
        <v>1590</v>
      </c>
      <c r="Q264" s="4" t="s">
        <v>1591</v>
      </c>
      <c r="R264" s="4" t="s">
        <v>1356</v>
      </c>
      <c r="S264" s="4" t="s">
        <v>1361</v>
      </c>
      <c r="T264" s="4" t="s">
        <v>1441</v>
      </c>
      <c r="U264" s="4" t="s">
        <v>1442</v>
      </c>
    </row>
    <row r="265" spans="1:21" s="4" customFormat="1" x14ac:dyDescent="0.35">
      <c r="A265" s="4" t="s">
        <v>1592</v>
      </c>
      <c r="B265" s="4" t="s">
        <v>23</v>
      </c>
      <c r="C265" s="4" t="s">
        <v>1593</v>
      </c>
      <c r="D265" s="4" t="s">
        <v>1594</v>
      </c>
      <c r="E265" s="4" t="s">
        <v>1356</v>
      </c>
      <c r="H265" s="4" t="s">
        <v>1595</v>
      </c>
      <c r="J265" s="4" t="s">
        <v>906</v>
      </c>
      <c r="K265" s="4" t="s">
        <v>2243</v>
      </c>
      <c r="L265" s="4" t="s">
        <v>32</v>
      </c>
      <c r="M265" s="4" t="s">
        <v>33</v>
      </c>
      <c r="N265" s="4" t="s">
        <v>34</v>
      </c>
      <c r="O265" s="4" t="s">
        <v>239</v>
      </c>
      <c r="P265" s="4" t="s">
        <v>1596</v>
      </c>
      <c r="Q265" s="4" t="s">
        <v>1597</v>
      </c>
      <c r="R265" s="4" t="s">
        <v>1356</v>
      </c>
      <c r="S265" s="4" t="s">
        <v>1361</v>
      </c>
      <c r="T265" s="4" t="s">
        <v>1388</v>
      </c>
      <c r="U265" s="4" t="s">
        <v>1389</v>
      </c>
    </row>
    <row r="266" spans="1:21" s="4" customFormat="1" x14ac:dyDescent="0.35">
      <c r="A266" s="4" t="s">
        <v>1598</v>
      </c>
      <c r="B266" s="4" t="s">
        <v>23</v>
      </c>
      <c r="C266" s="4" t="s">
        <v>24</v>
      </c>
      <c r="D266" s="4" t="s">
        <v>1599</v>
      </c>
      <c r="E266" s="4" t="s">
        <v>1356</v>
      </c>
      <c r="H266" s="4" t="s">
        <v>1600</v>
      </c>
      <c r="J266" s="4" t="s">
        <v>906</v>
      </c>
      <c r="K266" s="4" t="s">
        <v>2243</v>
      </c>
      <c r="L266" s="4" t="s">
        <v>32</v>
      </c>
      <c r="M266" s="4" t="s">
        <v>33</v>
      </c>
      <c r="N266" s="4" t="s">
        <v>34</v>
      </c>
      <c r="O266" s="4" t="s">
        <v>239</v>
      </c>
      <c r="P266" s="4" t="s">
        <v>1601</v>
      </c>
      <c r="Q266" s="4" t="s">
        <v>1602</v>
      </c>
      <c r="R266" s="4" t="s">
        <v>1356</v>
      </c>
      <c r="S266" s="4" t="s">
        <v>1361</v>
      </c>
      <c r="T266" s="4" t="s">
        <v>1397</v>
      </c>
      <c r="U266" s="4" t="s">
        <v>1398</v>
      </c>
    </row>
    <row r="267" spans="1:21" s="4" customFormat="1" x14ac:dyDescent="0.35">
      <c r="A267" s="4" t="s">
        <v>1603</v>
      </c>
      <c r="B267" s="4" t="s">
        <v>117</v>
      </c>
      <c r="C267" s="4" t="s">
        <v>1604</v>
      </c>
      <c r="D267" s="4" t="s">
        <v>1605</v>
      </c>
      <c r="E267" s="4" t="s">
        <v>1356</v>
      </c>
      <c r="H267" s="4" t="s">
        <v>1606</v>
      </c>
      <c r="J267" s="4" t="s">
        <v>927</v>
      </c>
      <c r="K267" s="4" t="s">
        <v>2243</v>
      </c>
      <c r="L267" s="4" t="s">
        <v>32</v>
      </c>
      <c r="M267" s="4" t="s">
        <v>33</v>
      </c>
      <c r="N267" s="4" t="s">
        <v>34</v>
      </c>
      <c r="O267" s="4" t="s">
        <v>239</v>
      </c>
      <c r="P267" s="4" t="s">
        <v>1607</v>
      </c>
      <c r="Q267" s="4" t="s">
        <v>1608</v>
      </c>
      <c r="R267" s="4" t="s">
        <v>1356</v>
      </c>
      <c r="S267" s="4" t="s">
        <v>1361</v>
      </c>
      <c r="T267" s="4" t="s">
        <v>1441</v>
      </c>
      <c r="U267" s="4" t="s">
        <v>1442</v>
      </c>
    </row>
    <row r="268" spans="1:21" s="4" customFormat="1" x14ac:dyDescent="0.35">
      <c r="A268" s="4" t="s">
        <v>1609</v>
      </c>
      <c r="B268" s="4" t="s">
        <v>23</v>
      </c>
      <c r="C268" s="4" t="s">
        <v>24</v>
      </c>
      <c r="D268" s="4" t="s">
        <v>1610</v>
      </c>
      <c r="E268" s="4" t="s">
        <v>1356</v>
      </c>
      <c r="H268" s="4" t="s">
        <v>1611</v>
      </c>
      <c r="J268" s="4" t="s">
        <v>1070</v>
      </c>
      <c r="K268" s="4" t="s">
        <v>31</v>
      </c>
      <c r="L268" s="4" t="s">
        <v>32</v>
      </c>
      <c r="M268" s="4" t="s">
        <v>33</v>
      </c>
      <c r="N268" s="4" t="s">
        <v>34</v>
      </c>
      <c r="O268" s="4" t="s">
        <v>239</v>
      </c>
      <c r="P268" s="4" t="s">
        <v>1612</v>
      </c>
      <c r="Q268" s="4" t="s">
        <v>1613</v>
      </c>
      <c r="R268" s="4" t="s">
        <v>1356</v>
      </c>
      <c r="S268" s="4" t="s">
        <v>1361</v>
      </c>
      <c r="T268" s="4" t="s">
        <v>1356</v>
      </c>
      <c r="U268" s="4" t="s">
        <v>1362</v>
      </c>
    </row>
    <row r="269" spans="1:21" s="4" customFormat="1" x14ac:dyDescent="0.35">
      <c r="A269" s="4" t="s">
        <v>1614</v>
      </c>
      <c r="B269" s="4" t="s">
        <v>117</v>
      </c>
      <c r="C269" s="4" t="s">
        <v>54</v>
      </c>
      <c r="D269" s="4" t="s">
        <v>1615</v>
      </c>
      <c r="E269" s="4" t="s">
        <v>1356</v>
      </c>
      <c r="H269" s="4" t="s">
        <v>1616</v>
      </c>
      <c r="J269" s="4" t="s">
        <v>247</v>
      </c>
      <c r="L269" s="4" t="s">
        <v>32</v>
      </c>
      <c r="M269" s="4" t="s">
        <v>33</v>
      </c>
      <c r="N269" s="4" t="s">
        <v>657</v>
      </c>
      <c r="O269" s="4" t="s">
        <v>239</v>
      </c>
      <c r="P269" s="4" t="s">
        <v>1617</v>
      </c>
      <c r="Q269" s="4" t="s">
        <v>1618</v>
      </c>
      <c r="R269" s="4" t="s">
        <v>1356</v>
      </c>
      <c r="S269" s="4" t="s">
        <v>1361</v>
      </c>
      <c r="T269" s="4" t="s">
        <v>1388</v>
      </c>
      <c r="U269" s="4" t="s">
        <v>1389</v>
      </c>
    </row>
    <row r="270" spans="1:21" s="4" customFormat="1" x14ac:dyDescent="0.35">
      <c r="A270" s="4" t="s">
        <v>1619</v>
      </c>
      <c r="B270" s="4" t="s">
        <v>23</v>
      </c>
      <c r="C270" s="4" t="s">
        <v>63</v>
      </c>
      <c r="D270" s="4" t="s">
        <v>1620</v>
      </c>
      <c r="E270" s="4" t="s">
        <v>1621</v>
      </c>
      <c r="F270" s="4" t="s">
        <v>1622</v>
      </c>
      <c r="G270" s="4" t="s">
        <v>1623</v>
      </c>
      <c r="H270" s="4" t="s">
        <v>1624</v>
      </c>
      <c r="J270" s="4" t="s">
        <v>64</v>
      </c>
      <c r="K270" s="4" t="s">
        <v>31</v>
      </c>
      <c r="L270" s="4" t="s">
        <v>32</v>
      </c>
      <c r="M270" s="4" t="s">
        <v>33</v>
      </c>
      <c r="N270" s="4" t="s">
        <v>34</v>
      </c>
      <c r="O270" s="4" t="s">
        <v>35</v>
      </c>
      <c r="P270" s="4" t="s">
        <v>1625</v>
      </c>
      <c r="Q270" s="4" t="s">
        <v>1626</v>
      </c>
      <c r="R270" s="4" t="s">
        <v>1621</v>
      </c>
      <c r="S270" s="4" t="s">
        <v>1627</v>
      </c>
      <c r="T270" s="4" t="s">
        <v>1621</v>
      </c>
      <c r="U270" s="4" t="s">
        <v>1628</v>
      </c>
    </row>
    <row r="271" spans="1:21" s="4" customFormat="1" x14ac:dyDescent="0.35">
      <c r="A271" s="4" t="s">
        <v>1629</v>
      </c>
      <c r="B271" s="4" t="s">
        <v>134</v>
      </c>
      <c r="C271" s="4" t="s">
        <v>1435</v>
      </c>
      <c r="D271" s="4" t="s">
        <v>1630</v>
      </c>
      <c r="E271" s="4" t="s">
        <v>1621</v>
      </c>
      <c r="H271" s="4" t="s">
        <v>1631</v>
      </c>
      <c r="J271" s="4" t="s">
        <v>64</v>
      </c>
      <c r="K271" s="4" t="s">
        <v>31</v>
      </c>
      <c r="L271" s="4" t="s">
        <v>58</v>
      </c>
      <c r="M271" s="4" t="s">
        <v>33</v>
      </c>
      <c r="N271" s="4" t="s">
        <v>34</v>
      </c>
      <c r="O271" s="4" t="s">
        <v>35</v>
      </c>
      <c r="P271" s="4" t="s">
        <v>1632</v>
      </c>
      <c r="Q271" s="4" t="s">
        <v>1633</v>
      </c>
      <c r="R271" s="4" t="s">
        <v>1621</v>
      </c>
      <c r="S271" s="4" t="s">
        <v>1627</v>
      </c>
      <c r="T271" s="4" t="s">
        <v>1621</v>
      </c>
      <c r="U271" s="4" t="s">
        <v>1628</v>
      </c>
    </row>
    <row r="272" spans="1:21" s="4" customFormat="1" x14ac:dyDescent="0.35">
      <c r="A272" s="4" t="s">
        <v>1634</v>
      </c>
      <c r="B272" s="4" t="s">
        <v>117</v>
      </c>
      <c r="C272" s="4" t="s">
        <v>1435</v>
      </c>
      <c r="D272" s="4" t="s">
        <v>1635</v>
      </c>
      <c r="E272" s="4" t="s">
        <v>1621</v>
      </c>
      <c r="F272" s="4" t="s">
        <v>1622</v>
      </c>
      <c r="G272" s="4" t="s">
        <v>1636</v>
      </c>
      <c r="H272" s="4" t="s">
        <v>1637</v>
      </c>
      <c r="J272" s="4" t="s">
        <v>64</v>
      </c>
      <c r="K272" s="4" t="s">
        <v>31</v>
      </c>
      <c r="L272" s="4" t="s">
        <v>32</v>
      </c>
      <c r="M272" s="4" t="s">
        <v>33</v>
      </c>
      <c r="N272" s="4" t="s">
        <v>34</v>
      </c>
      <c r="O272" s="4" t="s">
        <v>35</v>
      </c>
      <c r="P272" s="4" t="s">
        <v>1638</v>
      </c>
      <c r="Q272" s="4" t="s">
        <v>1639</v>
      </c>
      <c r="R272" s="4" t="s">
        <v>1621</v>
      </c>
      <c r="S272" s="4" t="s">
        <v>1627</v>
      </c>
      <c r="T272" s="4" t="s">
        <v>1621</v>
      </c>
      <c r="U272" s="4" t="s">
        <v>1628</v>
      </c>
    </row>
    <row r="273" spans="1:21" s="4" customFormat="1" x14ac:dyDescent="0.35">
      <c r="A273" s="4" t="s">
        <v>1643</v>
      </c>
      <c r="B273" s="4" t="s">
        <v>117</v>
      </c>
      <c r="C273" s="4" t="s">
        <v>209</v>
      </c>
      <c r="D273" s="4" t="s">
        <v>1640</v>
      </c>
      <c r="E273" s="4" t="s">
        <v>1621</v>
      </c>
      <c r="F273" s="4" t="s">
        <v>1641</v>
      </c>
      <c r="H273" s="4" t="s">
        <v>1642</v>
      </c>
      <c r="J273" s="4" t="s">
        <v>644</v>
      </c>
      <c r="K273" s="4" t="s">
        <v>31</v>
      </c>
      <c r="L273" s="4" t="s">
        <v>32</v>
      </c>
      <c r="M273" s="4" t="s">
        <v>33</v>
      </c>
      <c r="N273" s="4" t="s">
        <v>34</v>
      </c>
      <c r="O273" s="4" t="s">
        <v>35</v>
      </c>
      <c r="P273" s="4" t="s">
        <v>1632</v>
      </c>
      <c r="Q273" s="4" t="s">
        <v>1633</v>
      </c>
      <c r="R273" s="4" t="s">
        <v>1621</v>
      </c>
      <c r="S273" s="4" t="s">
        <v>1627</v>
      </c>
      <c r="T273" s="4" t="s">
        <v>1621</v>
      </c>
      <c r="U273" s="4" t="s">
        <v>1628</v>
      </c>
    </row>
    <row r="274" spans="1:21" s="4" customFormat="1" x14ac:dyDescent="0.35">
      <c r="A274" s="4" t="s">
        <v>1646</v>
      </c>
      <c r="B274" s="4" t="s">
        <v>117</v>
      </c>
      <c r="C274" s="4" t="s">
        <v>24</v>
      </c>
      <c r="D274" s="4" t="s">
        <v>1644</v>
      </c>
      <c r="E274" s="4" t="s">
        <v>1621</v>
      </c>
      <c r="F274" s="4" t="s">
        <v>1641</v>
      </c>
      <c r="H274" s="4" t="s">
        <v>1645</v>
      </c>
      <c r="J274" s="4" t="s">
        <v>247</v>
      </c>
      <c r="K274" s="4" t="s">
        <v>31</v>
      </c>
      <c r="L274" s="4" t="s">
        <v>32</v>
      </c>
      <c r="M274" s="4" t="s">
        <v>33</v>
      </c>
      <c r="N274" s="4" t="s">
        <v>34</v>
      </c>
      <c r="O274" s="4" t="s">
        <v>35</v>
      </c>
      <c r="P274" s="4" t="s">
        <v>1632</v>
      </c>
      <c r="Q274" s="4" t="s">
        <v>1633</v>
      </c>
      <c r="R274" s="4" t="s">
        <v>1621</v>
      </c>
      <c r="S274" s="4" t="s">
        <v>1627</v>
      </c>
      <c r="T274" s="4" t="s">
        <v>1621</v>
      </c>
      <c r="U274" s="4" t="s">
        <v>1628</v>
      </c>
    </row>
    <row r="275" spans="1:21" s="4" customFormat="1" x14ac:dyDescent="0.35">
      <c r="A275" s="4" t="s">
        <v>1647</v>
      </c>
      <c r="B275" s="4" t="s">
        <v>117</v>
      </c>
      <c r="C275" s="4" t="s">
        <v>24</v>
      </c>
      <c r="D275" s="4" t="s">
        <v>1648</v>
      </c>
      <c r="E275" s="4" t="s">
        <v>1621</v>
      </c>
      <c r="G275" s="4" t="s">
        <v>1649</v>
      </c>
      <c r="H275" s="4" t="s">
        <v>1650</v>
      </c>
      <c r="J275" s="4" t="s">
        <v>644</v>
      </c>
      <c r="K275" s="4" t="s">
        <v>2235</v>
      </c>
      <c r="L275" s="4" t="s">
        <v>32</v>
      </c>
      <c r="M275" s="4" t="s">
        <v>33</v>
      </c>
      <c r="N275" s="4" t="s">
        <v>34</v>
      </c>
      <c r="O275" s="4" t="s">
        <v>35</v>
      </c>
      <c r="P275" s="4" t="s">
        <v>1651</v>
      </c>
      <c r="Q275" s="4" t="s">
        <v>1652</v>
      </c>
      <c r="R275" s="4" t="s">
        <v>1621</v>
      </c>
      <c r="S275" s="4" t="s">
        <v>1627</v>
      </c>
      <c r="T275" s="4" t="s">
        <v>1621</v>
      </c>
      <c r="U275" s="4" t="s">
        <v>1628</v>
      </c>
    </row>
    <row r="276" spans="1:21" s="4" customFormat="1" x14ac:dyDescent="0.35">
      <c r="A276" s="4" t="s">
        <v>1653</v>
      </c>
      <c r="B276" s="4" t="s">
        <v>23</v>
      </c>
      <c r="C276" s="4" t="s">
        <v>24</v>
      </c>
      <c r="D276" s="4" t="s">
        <v>1654</v>
      </c>
      <c r="E276" s="4" t="s">
        <v>1621</v>
      </c>
      <c r="F276" s="4" t="s">
        <v>1655</v>
      </c>
      <c r="G276" s="4" t="s">
        <v>1656</v>
      </c>
      <c r="H276" s="4" t="s">
        <v>1657</v>
      </c>
      <c r="J276" s="4" t="s">
        <v>64</v>
      </c>
      <c r="K276" s="4" t="s">
        <v>2235</v>
      </c>
      <c r="L276" s="4" t="s">
        <v>32</v>
      </c>
      <c r="M276" s="4" t="s">
        <v>33</v>
      </c>
      <c r="N276" s="4" t="s">
        <v>34</v>
      </c>
      <c r="O276" s="4" t="s">
        <v>239</v>
      </c>
      <c r="P276" s="4" t="s">
        <v>1658</v>
      </c>
      <c r="Q276" s="4" t="s">
        <v>1659</v>
      </c>
      <c r="R276" s="4" t="s">
        <v>1621</v>
      </c>
      <c r="S276" s="4" t="s">
        <v>1627</v>
      </c>
      <c r="T276" s="4" t="s">
        <v>1621</v>
      </c>
      <c r="U276" s="4" t="s">
        <v>1628</v>
      </c>
    </row>
    <row r="277" spans="1:21" s="4" customFormat="1" x14ac:dyDescent="0.35">
      <c r="A277" s="4" t="s">
        <v>1660</v>
      </c>
      <c r="B277" s="4" t="s">
        <v>23</v>
      </c>
      <c r="C277" s="4" t="s">
        <v>24</v>
      </c>
      <c r="D277" s="4" t="s">
        <v>1661</v>
      </c>
      <c r="E277" s="4" t="s">
        <v>1621</v>
      </c>
      <c r="F277" s="4" t="s">
        <v>1662</v>
      </c>
      <c r="G277" s="4" t="s">
        <v>1663</v>
      </c>
      <c r="H277" s="4" t="s">
        <v>1664</v>
      </c>
      <c r="J277" s="4" t="s">
        <v>1665</v>
      </c>
      <c r="K277" s="4" t="s">
        <v>2235</v>
      </c>
      <c r="L277" s="4" t="s">
        <v>32</v>
      </c>
      <c r="M277" s="4" t="s">
        <v>33</v>
      </c>
      <c r="N277" s="4" t="s">
        <v>34</v>
      </c>
      <c r="O277" s="4" t="s">
        <v>239</v>
      </c>
      <c r="P277" s="4" t="s">
        <v>1666</v>
      </c>
      <c r="Q277" s="4" t="s">
        <v>1667</v>
      </c>
      <c r="R277" s="4" t="s">
        <v>1621</v>
      </c>
      <c r="S277" s="4" t="s">
        <v>1627</v>
      </c>
      <c r="T277" s="4" t="s">
        <v>1621</v>
      </c>
      <c r="U277" s="4" t="s">
        <v>1628</v>
      </c>
    </row>
    <row r="278" spans="1:21" s="4" customFormat="1" x14ac:dyDescent="0.35">
      <c r="A278" s="4" t="s">
        <v>1668</v>
      </c>
      <c r="B278" s="4" t="s">
        <v>23</v>
      </c>
      <c r="C278" s="4" t="s">
        <v>24</v>
      </c>
      <c r="D278" s="4" t="s">
        <v>1669</v>
      </c>
      <c r="E278" s="4" t="s">
        <v>1621</v>
      </c>
      <c r="F278" s="4" t="s">
        <v>1670</v>
      </c>
      <c r="G278" s="4" t="s">
        <v>1671</v>
      </c>
      <c r="H278" s="4" t="s">
        <v>1672</v>
      </c>
      <c r="J278" s="4" t="s">
        <v>1673</v>
      </c>
      <c r="K278" s="4" t="s">
        <v>2235</v>
      </c>
      <c r="L278" s="4" t="s">
        <v>32</v>
      </c>
      <c r="M278" s="4" t="s">
        <v>33</v>
      </c>
      <c r="N278" s="4" t="s">
        <v>34</v>
      </c>
      <c r="O278" s="4" t="s">
        <v>239</v>
      </c>
      <c r="P278" s="4" t="s">
        <v>1674</v>
      </c>
      <c r="Q278" s="4" t="s">
        <v>1675</v>
      </c>
      <c r="R278" s="4" t="s">
        <v>1621</v>
      </c>
      <c r="S278" s="4" t="s">
        <v>1627</v>
      </c>
      <c r="T278" s="4" t="s">
        <v>1621</v>
      </c>
      <c r="U278" s="4" t="s">
        <v>1628</v>
      </c>
    </row>
    <row r="279" spans="1:21" s="4" customFormat="1" x14ac:dyDescent="0.35">
      <c r="A279" s="4" t="s">
        <v>1676</v>
      </c>
      <c r="B279" s="4" t="s">
        <v>23</v>
      </c>
      <c r="C279" s="4" t="s">
        <v>24</v>
      </c>
      <c r="D279" s="4" t="s">
        <v>1677</v>
      </c>
      <c r="E279" s="4" t="s">
        <v>1621</v>
      </c>
      <c r="F279" s="4" t="s">
        <v>1678</v>
      </c>
      <c r="G279" s="4" t="s">
        <v>1679</v>
      </c>
      <c r="H279" s="4" t="s">
        <v>1680</v>
      </c>
      <c r="J279" s="4" t="s">
        <v>1681</v>
      </c>
      <c r="K279" s="4" t="s">
        <v>2235</v>
      </c>
      <c r="L279" s="4" t="s">
        <v>32</v>
      </c>
      <c r="M279" s="4" t="s">
        <v>33</v>
      </c>
      <c r="N279" s="4" t="s">
        <v>34</v>
      </c>
      <c r="O279" s="4" t="s">
        <v>239</v>
      </c>
      <c r="P279" s="4" t="s">
        <v>1682</v>
      </c>
      <c r="Q279" s="4" t="s">
        <v>1683</v>
      </c>
      <c r="R279" s="4" t="s">
        <v>1621</v>
      </c>
      <c r="S279" s="4" t="s">
        <v>1627</v>
      </c>
      <c r="T279" s="4" t="s">
        <v>1621</v>
      </c>
      <c r="U279" s="4" t="s">
        <v>1628</v>
      </c>
    </row>
    <row r="280" spans="1:21" s="4" customFormat="1" x14ac:dyDescent="0.35">
      <c r="A280" s="4" t="s">
        <v>1691</v>
      </c>
      <c r="B280" s="4" t="s">
        <v>23</v>
      </c>
      <c r="C280" s="4" t="s">
        <v>24</v>
      </c>
      <c r="D280" s="4" t="s">
        <v>1684</v>
      </c>
      <c r="E280" s="4" t="s">
        <v>1621</v>
      </c>
      <c r="F280" s="4" t="s">
        <v>1685</v>
      </c>
      <c r="G280" s="4" t="s">
        <v>1686</v>
      </c>
      <c r="H280" s="4" t="s">
        <v>1687</v>
      </c>
      <c r="J280" s="4" t="s">
        <v>1688</v>
      </c>
      <c r="K280" s="4" t="s">
        <v>2241</v>
      </c>
      <c r="L280" s="4" t="s">
        <v>32</v>
      </c>
      <c r="M280" s="4" t="s">
        <v>33</v>
      </c>
      <c r="N280" s="4" t="s">
        <v>34</v>
      </c>
      <c r="O280" s="4" t="s">
        <v>239</v>
      </c>
      <c r="P280" s="4" t="s">
        <v>1689</v>
      </c>
      <c r="Q280" s="4" t="s">
        <v>1690</v>
      </c>
      <c r="R280" s="4" t="s">
        <v>1621</v>
      </c>
      <c r="S280" s="4" t="s">
        <v>1627</v>
      </c>
      <c r="T280" s="4" t="s">
        <v>1621</v>
      </c>
      <c r="U280" s="4" t="s">
        <v>1628</v>
      </c>
    </row>
    <row r="281" spans="1:21" s="4" customFormat="1" x14ac:dyDescent="0.35">
      <c r="A281" s="4" t="s">
        <v>1692</v>
      </c>
      <c r="B281" s="4" t="s">
        <v>23</v>
      </c>
      <c r="C281" s="4" t="s">
        <v>1162</v>
      </c>
      <c r="D281" s="4" t="s">
        <v>1693</v>
      </c>
      <c r="E281" s="4" t="s">
        <v>1621</v>
      </c>
      <c r="F281" s="4" t="s">
        <v>1694</v>
      </c>
      <c r="G281" s="4" t="s">
        <v>1695</v>
      </c>
      <c r="H281" s="4" t="s">
        <v>1696</v>
      </c>
      <c r="J281" s="4" t="s">
        <v>827</v>
      </c>
      <c r="K281" s="4" t="s">
        <v>2241</v>
      </c>
      <c r="L281" s="4" t="s">
        <v>32</v>
      </c>
      <c r="M281" s="4" t="s">
        <v>33</v>
      </c>
      <c r="N281" s="4" t="s">
        <v>34</v>
      </c>
      <c r="O281" s="4" t="s">
        <v>239</v>
      </c>
      <c r="P281" s="4" t="s">
        <v>1697</v>
      </c>
      <c r="Q281" s="4" t="s">
        <v>1698</v>
      </c>
      <c r="R281" s="4" t="s">
        <v>1621</v>
      </c>
      <c r="S281" s="4" t="s">
        <v>1627</v>
      </c>
      <c r="T281" s="4" t="s">
        <v>1621</v>
      </c>
      <c r="U281" s="4" t="s">
        <v>1628</v>
      </c>
    </row>
    <row r="282" spans="1:21" s="4" customFormat="1" x14ac:dyDescent="0.35">
      <c r="A282" s="4" t="s">
        <v>1699</v>
      </c>
      <c r="B282" s="4" t="s">
        <v>23</v>
      </c>
      <c r="C282" s="4" t="s">
        <v>24</v>
      </c>
      <c r="D282" s="4" t="s">
        <v>1700</v>
      </c>
      <c r="E282" s="4" t="s">
        <v>1621</v>
      </c>
      <c r="F282" s="4" t="s">
        <v>1701</v>
      </c>
      <c r="G282" s="4" t="s">
        <v>1702</v>
      </c>
      <c r="H282" s="4" t="s">
        <v>1703</v>
      </c>
      <c r="J282" s="4" t="s">
        <v>553</v>
      </c>
      <c r="K282" s="4" t="s">
        <v>2241</v>
      </c>
      <c r="L282" s="4" t="s">
        <v>32</v>
      </c>
      <c r="M282" s="4" t="s">
        <v>33</v>
      </c>
      <c r="N282" s="4" t="s">
        <v>34</v>
      </c>
      <c r="O282" s="4" t="s">
        <v>239</v>
      </c>
      <c r="P282" s="4" t="s">
        <v>1704</v>
      </c>
      <c r="Q282" s="4" t="s">
        <v>1705</v>
      </c>
      <c r="R282" s="4" t="s">
        <v>1621</v>
      </c>
      <c r="S282" s="4" t="s">
        <v>1627</v>
      </c>
      <c r="T282" s="4" t="s">
        <v>1621</v>
      </c>
      <c r="U282" s="4" t="s">
        <v>1628</v>
      </c>
    </row>
    <row r="283" spans="1:21" s="4" customFormat="1" x14ac:dyDescent="0.35">
      <c r="A283" s="4" t="s">
        <v>1706</v>
      </c>
      <c r="B283" s="4" t="s">
        <v>23</v>
      </c>
      <c r="C283" s="4" t="s">
        <v>152</v>
      </c>
      <c r="D283" s="4" t="s">
        <v>1707</v>
      </c>
      <c r="E283" s="4" t="s">
        <v>1621</v>
      </c>
      <c r="H283" s="4" t="s">
        <v>1708</v>
      </c>
      <c r="J283" s="4" t="s">
        <v>1709</v>
      </c>
      <c r="K283" s="4" t="s">
        <v>2244</v>
      </c>
      <c r="L283" s="4" t="s">
        <v>32</v>
      </c>
      <c r="M283" s="4" t="s">
        <v>33</v>
      </c>
      <c r="N283" s="4" t="s">
        <v>34</v>
      </c>
      <c r="O283" s="4" t="s">
        <v>239</v>
      </c>
      <c r="P283" s="4" t="s">
        <v>1710</v>
      </c>
      <c r="Q283" s="4" t="s">
        <v>1711</v>
      </c>
      <c r="R283" s="4" t="s">
        <v>1621</v>
      </c>
      <c r="S283" s="4" t="s">
        <v>1627</v>
      </c>
      <c r="T283" s="4" t="s">
        <v>1621</v>
      </c>
      <c r="U283" s="4" t="s">
        <v>1628</v>
      </c>
    </row>
    <row r="284" spans="1:21" s="4" customFormat="1" x14ac:dyDescent="0.35">
      <c r="A284" s="4" t="s">
        <v>1712</v>
      </c>
      <c r="B284" s="4" t="s">
        <v>117</v>
      </c>
      <c r="C284" s="4" t="s">
        <v>24</v>
      </c>
      <c r="D284" s="4" t="s">
        <v>1713</v>
      </c>
      <c r="E284" s="4" t="s">
        <v>1621</v>
      </c>
      <c r="G284" s="4" t="s">
        <v>1714</v>
      </c>
      <c r="H284" s="4" t="s">
        <v>1715</v>
      </c>
      <c r="J284" s="4" t="s">
        <v>968</v>
      </c>
      <c r="K284" s="4" t="s">
        <v>2241</v>
      </c>
      <c r="L284" s="4" t="s">
        <v>32</v>
      </c>
      <c r="M284" s="4" t="s">
        <v>33</v>
      </c>
      <c r="N284" s="4" t="s">
        <v>34</v>
      </c>
      <c r="O284" s="4" t="s">
        <v>239</v>
      </c>
      <c r="P284" s="4" t="s">
        <v>1716</v>
      </c>
      <c r="Q284" s="4" t="s">
        <v>1717</v>
      </c>
      <c r="R284" s="4" t="s">
        <v>1621</v>
      </c>
      <c r="S284" s="4" t="s">
        <v>1627</v>
      </c>
      <c r="T284" s="4" t="s">
        <v>1621</v>
      </c>
      <c r="U284" s="4" t="s">
        <v>1628</v>
      </c>
    </row>
    <row r="285" spans="1:21" s="4" customFormat="1" x14ac:dyDescent="0.35">
      <c r="A285" s="4" t="s">
        <v>1718</v>
      </c>
      <c r="B285" s="4" t="s">
        <v>117</v>
      </c>
      <c r="C285" s="4" t="s">
        <v>24</v>
      </c>
      <c r="D285" s="4" t="s">
        <v>1719</v>
      </c>
      <c r="E285" s="4" t="s">
        <v>1621</v>
      </c>
      <c r="H285" s="4" t="s">
        <v>1720</v>
      </c>
      <c r="J285" s="4" t="s">
        <v>968</v>
      </c>
      <c r="K285" s="4" t="s">
        <v>2241</v>
      </c>
      <c r="L285" s="4" t="s">
        <v>32</v>
      </c>
      <c r="M285" s="4" t="s">
        <v>33</v>
      </c>
      <c r="N285" s="4" t="s">
        <v>34</v>
      </c>
      <c r="O285" s="4" t="s">
        <v>239</v>
      </c>
      <c r="P285" s="4" t="s">
        <v>1721</v>
      </c>
      <c r="Q285" s="4" t="s">
        <v>1722</v>
      </c>
      <c r="R285" s="4" t="s">
        <v>1621</v>
      </c>
      <c r="S285" s="4" t="s">
        <v>1627</v>
      </c>
      <c r="T285" s="4" t="s">
        <v>1621</v>
      </c>
      <c r="U285" s="4" t="s">
        <v>1628</v>
      </c>
    </row>
    <row r="286" spans="1:21" s="4" customFormat="1" x14ac:dyDescent="0.35">
      <c r="A286" s="4" t="s">
        <v>1729</v>
      </c>
      <c r="B286" s="4" t="s">
        <v>117</v>
      </c>
      <c r="C286" s="4" t="s">
        <v>24</v>
      </c>
      <c r="D286" s="4" t="s">
        <v>1723</v>
      </c>
      <c r="E286" s="4" t="s">
        <v>1621</v>
      </c>
      <c r="F286" s="4" t="s">
        <v>1724</v>
      </c>
      <c r="G286" s="4" t="s">
        <v>1725</v>
      </c>
      <c r="H286" s="4" t="s">
        <v>1726</v>
      </c>
      <c r="J286" s="4" t="s">
        <v>553</v>
      </c>
      <c r="K286" s="4" t="s">
        <v>2241</v>
      </c>
      <c r="L286" s="4" t="s">
        <v>32</v>
      </c>
      <c r="M286" s="4" t="s">
        <v>33</v>
      </c>
      <c r="N286" s="4" t="s">
        <v>34</v>
      </c>
      <c r="O286" s="4" t="s">
        <v>239</v>
      </c>
      <c r="P286" s="4" t="s">
        <v>1727</v>
      </c>
      <c r="Q286" s="4" t="s">
        <v>1728</v>
      </c>
      <c r="R286" s="4" t="s">
        <v>1621</v>
      </c>
      <c r="S286" s="4" t="s">
        <v>1627</v>
      </c>
      <c r="T286" s="4" t="s">
        <v>1621</v>
      </c>
      <c r="U286" s="4" t="s">
        <v>1628</v>
      </c>
    </row>
    <row r="287" spans="1:21" s="4" customFormat="1" x14ac:dyDescent="0.35">
      <c r="A287" s="4" t="s">
        <v>1737</v>
      </c>
      <c r="B287" s="4" t="s">
        <v>151</v>
      </c>
      <c r="C287" s="4" t="s">
        <v>24</v>
      </c>
      <c r="D287" s="4" t="s">
        <v>1730</v>
      </c>
      <c r="E287" s="4" t="s">
        <v>1621</v>
      </c>
      <c r="F287" s="4" t="s">
        <v>1731</v>
      </c>
      <c r="G287" s="4" t="s">
        <v>1732</v>
      </c>
      <c r="H287" s="4" t="s">
        <v>1733</v>
      </c>
      <c r="J287" s="4" t="s">
        <v>1734</v>
      </c>
      <c r="K287" s="4" t="s">
        <v>2245</v>
      </c>
      <c r="L287" s="4" t="s">
        <v>32</v>
      </c>
      <c r="M287" s="4" t="s">
        <v>33</v>
      </c>
      <c r="N287" s="4" t="s">
        <v>34</v>
      </c>
      <c r="O287" s="4" t="s">
        <v>239</v>
      </c>
      <c r="P287" s="4" t="s">
        <v>1735</v>
      </c>
      <c r="Q287" s="4" t="s">
        <v>1736</v>
      </c>
      <c r="R287" s="4" t="s">
        <v>1621</v>
      </c>
      <c r="S287" s="4" t="s">
        <v>1627</v>
      </c>
      <c r="T287" s="4" t="s">
        <v>1621</v>
      </c>
      <c r="U287" s="4" t="s">
        <v>1628</v>
      </c>
    </row>
    <row r="288" spans="1:21" s="4" customFormat="1" x14ac:dyDescent="0.35">
      <c r="A288" s="4" t="s">
        <v>1738</v>
      </c>
      <c r="B288" s="4" t="s">
        <v>117</v>
      </c>
      <c r="C288" s="4" t="s">
        <v>118</v>
      </c>
      <c r="D288" s="4" t="s">
        <v>1723</v>
      </c>
      <c r="E288" s="4" t="s">
        <v>1621</v>
      </c>
      <c r="F288" s="4" t="s">
        <v>420</v>
      </c>
      <c r="H288" s="4" t="s">
        <v>1739</v>
      </c>
      <c r="J288" s="4" t="s">
        <v>553</v>
      </c>
      <c r="K288" s="4" t="s">
        <v>2241</v>
      </c>
      <c r="L288" s="4" t="s">
        <v>32</v>
      </c>
      <c r="M288" s="4" t="s">
        <v>33</v>
      </c>
      <c r="N288" s="4" t="s">
        <v>34</v>
      </c>
      <c r="O288" s="4" t="s">
        <v>239</v>
      </c>
      <c r="P288" s="4" t="s">
        <v>1740</v>
      </c>
      <c r="Q288" s="4" t="s">
        <v>1741</v>
      </c>
      <c r="R288" s="4" t="s">
        <v>1621</v>
      </c>
      <c r="S288" s="4" t="s">
        <v>1627</v>
      </c>
      <c r="T288" s="4" t="s">
        <v>1621</v>
      </c>
      <c r="U288" s="4" t="s">
        <v>1628</v>
      </c>
    </row>
    <row r="289" spans="1:21" s="4" customFormat="1" x14ac:dyDescent="0.35">
      <c r="A289" s="4" t="s">
        <v>1742</v>
      </c>
      <c r="B289" s="4" t="s">
        <v>23</v>
      </c>
      <c r="C289" s="4" t="s">
        <v>1743</v>
      </c>
      <c r="D289" s="4" t="s">
        <v>1744</v>
      </c>
      <c r="E289" s="4" t="s">
        <v>1621</v>
      </c>
      <c r="H289" s="4" t="s">
        <v>1745</v>
      </c>
      <c r="J289" s="4" t="s">
        <v>1746</v>
      </c>
      <c r="K289" s="4" t="s">
        <v>2242</v>
      </c>
      <c r="L289" s="4" t="s">
        <v>32</v>
      </c>
      <c r="M289" s="4" t="s">
        <v>33</v>
      </c>
      <c r="N289" s="4" t="s">
        <v>34</v>
      </c>
      <c r="O289" s="4" t="s">
        <v>239</v>
      </c>
      <c r="P289" s="4" t="s">
        <v>1632</v>
      </c>
      <c r="Q289" s="4" t="s">
        <v>1633</v>
      </c>
      <c r="R289" s="4" t="s">
        <v>1621</v>
      </c>
      <c r="S289" s="4" t="s">
        <v>1627</v>
      </c>
      <c r="T289" s="4" t="s">
        <v>1621</v>
      </c>
      <c r="U289" s="4" t="s">
        <v>1628</v>
      </c>
    </row>
    <row r="290" spans="1:21" s="4" customFormat="1" x14ac:dyDescent="0.35">
      <c r="A290" s="4" t="s">
        <v>1747</v>
      </c>
      <c r="B290" s="4" t="s">
        <v>117</v>
      </c>
      <c r="C290" s="4" t="s">
        <v>1748</v>
      </c>
      <c r="D290" s="4" t="s">
        <v>1749</v>
      </c>
      <c r="E290" s="4" t="s">
        <v>1621</v>
      </c>
      <c r="F290" s="4" t="s">
        <v>1750</v>
      </c>
      <c r="H290" s="4" t="s">
        <v>1751</v>
      </c>
      <c r="J290" s="4" t="s">
        <v>238</v>
      </c>
      <c r="K290" s="4" t="s">
        <v>2246</v>
      </c>
      <c r="L290" s="4" t="s">
        <v>32</v>
      </c>
      <c r="M290" s="4" t="s">
        <v>33</v>
      </c>
      <c r="N290" s="4" t="s">
        <v>34</v>
      </c>
      <c r="O290" s="4" t="s">
        <v>239</v>
      </c>
      <c r="P290" s="4" t="s">
        <v>1632</v>
      </c>
      <c r="Q290" s="4" t="s">
        <v>1633</v>
      </c>
      <c r="R290" s="4" t="s">
        <v>1621</v>
      </c>
      <c r="S290" s="4" t="s">
        <v>1627</v>
      </c>
      <c r="T290" s="4" t="s">
        <v>1621</v>
      </c>
      <c r="U290" s="4" t="s">
        <v>1628</v>
      </c>
    </row>
    <row r="291" spans="1:21" s="4" customFormat="1" x14ac:dyDescent="0.35">
      <c r="A291" s="4" t="s">
        <v>1756</v>
      </c>
      <c r="B291" s="4" t="s">
        <v>117</v>
      </c>
      <c r="C291" s="4" t="s">
        <v>1435</v>
      </c>
      <c r="D291" s="4" t="s">
        <v>1752</v>
      </c>
      <c r="E291" s="4" t="s">
        <v>1621</v>
      </c>
      <c r="F291" s="4" t="s">
        <v>1753</v>
      </c>
      <c r="G291" s="4" t="s">
        <v>1754</v>
      </c>
      <c r="H291" s="4" t="s">
        <v>1755</v>
      </c>
      <c r="J291" s="4" t="s">
        <v>644</v>
      </c>
      <c r="L291" s="4" t="s">
        <v>32</v>
      </c>
      <c r="M291" s="4" t="s">
        <v>33</v>
      </c>
      <c r="N291" s="4" t="s">
        <v>34</v>
      </c>
      <c r="O291" s="4" t="s">
        <v>239</v>
      </c>
      <c r="P291" s="4" t="s">
        <v>1632</v>
      </c>
      <c r="Q291" s="4" t="s">
        <v>1633</v>
      </c>
      <c r="R291" s="4" t="s">
        <v>1621</v>
      </c>
      <c r="S291" s="4" t="s">
        <v>1627</v>
      </c>
      <c r="T291" s="4" t="s">
        <v>1621</v>
      </c>
      <c r="U291" s="4" t="s">
        <v>1628</v>
      </c>
    </row>
    <row r="292" spans="1:21" s="4" customFormat="1" x14ac:dyDescent="0.35">
      <c r="A292" s="4" t="s">
        <v>1757</v>
      </c>
      <c r="B292" s="4" t="s">
        <v>117</v>
      </c>
      <c r="C292" s="4" t="s">
        <v>1435</v>
      </c>
      <c r="D292" s="4" t="s">
        <v>1758</v>
      </c>
      <c r="E292" s="4" t="s">
        <v>1621</v>
      </c>
      <c r="H292" s="4" t="s">
        <v>1759</v>
      </c>
      <c r="J292" s="4" t="s">
        <v>64</v>
      </c>
      <c r="K292" s="4" t="s">
        <v>2228</v>
      </c>
      <c r="L292" s="4" t="s">
        <v>32</v>
      </c>
      <c r="M292" s="4" t="s">
        <v>33</v>
      </c>
      <c r="N292" s="4" t="s">
        <v>34</v>
      </c>
      <c r="O292" s="4" t="s">
        <v>35</v>
      </c>
      <c r="P292" s="4" t="s">
        <v>1760</v>
      </c>
      <c r="Q292" s="4" t="s">
        <v>1761</v>
      </c>
      <c r="R292" s="4" t="s">
        <v>1621</v>
      </c>
      <c r="S292" s="4" t="s">
        <v>1627</v>
      </c>
      <c r="T292" s="4" t="s">
        <v>1762</v>
      </c>
      <c r="U292" s="4" t="s">
        <v>1763</v>
      </c>
    </row>
    <row r="293" spans="1:21" s="4" customFormat="1" x14ac:dyDescent="0.35">
      <c r="A293" s="4" t="s">
        <v>1766</v>
      </c>
      <c r="B293" s="4" t="s">
        <v>117</v>
      </c>
      <c r="C293" s="4" t="s">
        <v>54</v>
      </c>
      <c r="D293" s="4" t="s">
        <v>1764</v>
      </c>
      <c r="E293" s="4" t="s">
        <v>1621</v>
      </c>
      <c r="F293" s="4" t="s">
        <v>1641</v>
      </c>
      <c r="H293" s="4" t="s">
        <v>1765</v>
      </c>
      <c r="J293" s="4" t="s">
        <v>247</v>
      </c>
      <c r="K293" s="4" t="s">
        <v>31</v>
      </c>
      <c r="L293" s="4" t="s">
        <v>32</v>
      </c>
      <c r="M293" s="4" t="s">
        <v>33</v>
      </c>
      <c r="N293" s="4" t="s">
        <v>34</v>
      </c>
      <c r="O293" s="4" t="s">
        <v>35</v>
      </c>
      <c r="P293" s="4" t="s">
        <v>1760</v>
      </c>
      <c r="Q293" s="4" t="s">
        <v>1761</v>
      </c>
      <c r="R293" s="4" t="s">
        <v>1621</v>
      </c>
      <c r="S293" s="4" t="s">
        <v>1627</v>
      </c>
      <c r="T293" s="4" t="s">
        <v>1762</v>
      </c>
      <c r="U293" s="4" t="s">
        <v>1763</v>
      </c>
    </row>
    <row r="294" spans="1:21" s="4" customFormat="1" x14ac:dyDescent="0.35">
      <c r="A294" s="4" t="s">
        <v>1771</v>
      </c>
      <c r="B294" s="4" t="s">
        <v>117</v>
      </c>
      <c r="C294" s="4" t="s">
        <v>24</v>
      </c>
      <c r="D294" s="4" t="s">
        <v>1767</v>
      </c>
      <c r="E294" s="4" t="s">
        <v>1621</v>
      </c>
      <c r="F294" s="4" t="s">
        <v>1641</v>
      </c>
      <c r="H294" s="4" t="s">
        <v>1768</v>
      </c>
      <c r="J294" s="4" t="s">
        <v>247</v>
      </c>
      <c r="K294" s="4" t="s">
        <v>31</v>
      </c>
      <c r="L294" s="4" t="s">
        <v>32</v>
      </c>
      <c r="M294" s="4" t="s">
        <v>33</v>
      </c>
      <c r="N294" s="4" t="s">
        <v>34</v>
      </c>
      <c r="O294" s="4" t="s">
        <v>35</v>
      </c>
      <c r="P294" s="4" t="s">
        <v>1769</v>
      </c>
      <c r="Q294" s="4" t="s">
        <v>1770</v>
      </c>
      <c r="R294" s="4" t="s">
        <v>1621</v>
      </c>
      <c r="S294" s="4" t="s">
        <v>1627</v>
      </c>
      <c r="T294" s="4" t="s">
        <v>1762</v>
      </c>
      <c r="U294" s="4" t="s">
        <v>1763</v>
      </c>
    </row>
    <row r="295" spans="1:21" s="4" customFormat="1" x14ac:dyDescent="0.35">
      <c r="A295" s="4" t="s">
        <v>1772</v>
      </c>
      <c r="B295" s="4" t="s">
        <v>53</v>
      </c>
      <c r="C295" s="4" t="s">
        <v>24</v>
      </c>
      <c r="D295" s="4" t="s">
        <v>1773</v>
      </c>
      <c r="E295" s="4" t="s">
        <v>1621</v>
      </c>
      <c r="F295" s="4" t="s">
        <v>1641</v>
      </c>
      <c r="H295" s="4" t="s">
        <v>1774</v>
      </c>
      <c r="J295" s="4" t="s">
        <v>64</v>
      </c>
      <c r="K295" s="4" t="s">
        <v>31</v>
      </c>
      <c r="L295" s="4" t="s">
        <v>58</v>
      </c>
      <c r="M295" s="4" t="s">
        <v>33</v>
      </c>
      <c r="N295" s="4" t="s">
        <v>34</v>
      </c>
      <c r="O295" s="4" t="s">
        <v>35</v>
      </c>
      <c r="P295" s="4" t="s">
        <v>1760</v>
      </c>
      <c r="Q295" s="4" t="s">
        <v>1761</v>
      </c>
      <c r="R295" s="4" t="s">
        <v>1621</v>
      </c>
      <c r="S295" s="4" t="s">
        <v>1627</v>
      </c>
      <c r="T295" s="4" t="s">
        <v>1762</v>
      </c>
      <c r="U295" s="4" t="s">
        <v>1763</v>
      </c>
    </row>
    <row r="296" spans="1:21" s="4" customFormat="1" x14ac:dyDescent="0.35">
      <c r="A296" s="4" t="s">
        <v>1780</v>
      </c>
      <c r="B296" s="4" t="s">
        <v>117</v>
      </c>
      <c r="C296" s="4" t="s">
        <v>24</v>
      </c>
      <c r="D296" s="4" t="s">
        <v>1775</v>
      </c>
      <c r="E296" s="4" t="s">
        <v>1621</v>
      </c>
      <c r="G296" s="4" t="s">
        <v>1776</v>
      </c>
      <c r="H296" s="4" t="s">
        <v>1777</v>
      </c>
      <c r="J296" s="4" t="s">
        <v>775</v>
      </c>
      <c r="K296" s="4" t="s">
        <v>2241</v>
      </c>
      <c r="L296" s="4" t="s">
        <v>32</v>
      </c>
      <c r="M296" s="4" t="s">
        <v>33</v>
      </c>
      <c r="N296" s="4" t="s">
        <v>34</v>
      </c>
      <c r="O296" s="4" t="s">
        <v>239</v>
      </c>
      <c r="P296" s="4" t="s">
        <v>1778</v>
      </c>
      <c r="Q296" s="4" t="s">
        <v>1779</v>
      </c>
      <c r="R296" s="4" t="s">
        <v>1621</v>
      </c>
      <c r="S296" s="4" t="s">
        <v>1627</v>
      </c>
      <c r="T296" s="4" t="s">
        <v>1762</v>
      </c>
      <c r="U296" s="4" t="s">
        <v>1763</v>
      </c>
    </row>
    <row r="297" spans="1:21" s="4" customFormat="1" x14ac:dyDescent="0.35">
      <c r="A297" s="4" t="s">
        <v>1781</v>
      </c>
      <c r="B297" s="4" t="s">
        <v>117</v>
      </c>
      <c r="C297" s="4" t="s">
        <v>24</v>
      </c>
      <c r="D297" s="4" t="s">
        <v>1775</v>
      </c>
      <c r="E297" s="4" t="s">
        <v>1621</v>
      </c>
      <c r="H297" s="4" t="s">
        <v>1782</v>
      </c>
      <c r="J297" s="4" t="s">
        <v>416</v>
      </c>
      <c r="K297" s="4" t="s">
        <v>2241</v>
      </c>
      <c r="L297" s="4" t="s">
        <v>32</v>
      </c>
      <c r="M297" s="4" t="s">
        <v>33</v>
      </c>
      <c r="N297" s="4" t="s">
        <v>34</v>
      </c>
      <c r="O297" s="4" t="s">
        <v>239</v>
      </c>
      <c r="P297" s="4" t="s">
        <v>1783</v>
      </c>
      <c r="Q297" s="4" t="s">
        <v>1784</v>
      </c>
      <c r="R297" s="4" t="s">
        <v>1621</v>
      </c>
      <c r="S297" s="4" t="s">
        <v>1627</v>
      </c>
      <c r="T297" s="4" t="s">
        <v>1762</v>
      </c>
      <c r="U297" s="4" t="s">
        <v>1763</v>
      </c>
    </row>
    <row r="298" spans="1:21" s="4" customFormat="1" x14ac:dyDescent="0.35">
      <c r="A298" s="4" t="s">
        <v>1785</v>
      </c>
      <c r="B298" s="4" t="s">
        <v>117</v>
      </c>
      <c r="C298" s="4" t="s">
        <v>24</v>
      </c>
      <c r="D298" s="4" t="s">
        <v>1786</v>
      </c>
      <c r="E298" s="4" t="s">
        <v>1621</v>
      </c>
      <c r="H298" s="4" t="s">
        <v>1787</v>
      </c>
      <c r="J298" s="4" t="s">
        <v>1788</v>
      </c>
      <c r="K298" s="4" t="s">
        <v>2241</v>
      </c>
      <c r="L298" s="4" t="s">
        <v>32</v>
      </c>
      <c r="M298" s="4" t="s">
        <v>33</v>
      </c>
      <c r="N298" s="4" t="s">
        <v>34</v>
      </c>
      <c r="O298" s="4" t="s">
        <v>239</v>
      </c>
      <c r="P298" s="4" t="s">
        <v>1789</v>
      </c>
      <c r="Q298" s="4" t="s">
        <v>1790</v>
      </c>
      <c r="R298" s="4" t="s">
        <v>1621</v>
      </c>
      <c r="S298" s="4" t="s">
        <v>1627</v>
      </c>
      <c r="T298" s="4" t="s">
        <v>1621</v>
      </c>
      <c r="U298" s="4" t="s">
        <v>1628</v>
      </c>
    </row>
    <row r="299" spans="1:21" s="4" customFormat="1" x14ac:dyDescent="0.35">
      <c r="A299" s="4" t="s">
        <v>1795</v>
      </c>
      <c r="B299" s="4" t="s">
        <v>117</v>
      </c>
      <c r="C299" s="4" t="s">
        <v>24</v>
      </c>
      <c r="D299" s="4" t="s">
        <v>1791</v>
      </c>
      <c r="E299" s="4" t="s">
        <v>1621</v>
      </c>
      <c r="H299" s="4" t="s">
        <v>1792</v>
      </c>
      <c r="J299" s="4" t="s">
        <v>775</v>
      </c>
      <c r="K299" s="4" t="s">
        <v>2241</v>
      </c>
      <c r="L299" s="4" t="s">
        <v>32</v>
      </c>
      <c r="M299" s="4" t="s">
        <v>33</v>
      </c>
      <c r="N299" s="4" t="s">
        <v>34</v>
      </c>
      <c r="O299" s="4" t="s">
        <v>239</v>
      </c>
      <c r="P299" s="4" t="s">
        <v>1793</v>
      </c>
      <c r="Q299" s="4" t="s">
        <v>1794</v>
      </c>
      <c r="R299" s="4" t="s">
        <v>1621</v>
      </c>
      <c r="S299" s="4" t="s">
        <v>1627</v>
      </c>
      <c r="T299" s="4" t="s">
        <v>1762</v>
      </c>
      <c r="U299" s="4" t="s">
        <v>1763</v>
      </c>
    </row>
    <row r="300" spans="1:21" s="4" customFormat="1" x14ac:dyDescent="0.35">
      <c r="A300" s="4" t="s">
        <v>1800</v>
      </c>
      <c r="B300" s="4" t="s">
        <v>117</v>
      </c>
      <c r="C300" s="4" t="s">
        <v>24</v>
      </c>
      <c r="D300" s="4" t="s">
        <v>1796</v>
      </c>
      <c r="E300" s="4" t="s">
        <v>1621</v>
      </c>
      <c r="H300" s="4" t="s">
        <v>1797</v>
      </c>
      <c r="J300" s="4" t="s">
        <v>968</v>
      </c>
      <c r="K300" s="4" t="s">
        <v>2241</v>
      </c>
      <c r="L300" s="4" t="s">
        <v>32</v>
      </c>
      <c r="M300" s="4" t="s">
        <v>33</v>
      </c>
      <c r="N300" s="4" t="s">
        <v>34</v>
      </c>
      <c r="O300" s="4" t="s">
        <v>239</v>
      </c>
      <c r="P300" s="4" t="s">
        <v>1798</v>
      </c>
      <c r="Q300" s="4" t="s">
        <v>1799</v>
      </c>
      <c r="R300" s="4" t="s">
        <v>1621</v>
      </c>
      <c r="S300" s="4" t="s">
        <v>1627</v>
      </c>
      <c r="T300" s="4" t="s">
        <v>1762</v>
      </c>
      <c r="U300" s="4" t="s">
        <v>1763</v>
      </c>
    </row>
    <row r="301" spans="1:21" s="4" customFormat="1" x14ac:dyDescent="0.35">
      <c r="A301" s="4" t="s">
        <v>1801</v>
      </c>
      <c r="B301" s="4" t="s">
        <v>117</v>
      </c>
      <c r="C301" s="4" t="s">
        <v>1743</v>
      </c>
      <c r="D301" s="4" t="s">
        <v>1802</v>
      </c>
      <c r="E301" s="4" t="s">
        <v>1621</v>
      </c>
      <c r="H301" s="4" t="s">
        <v>1803</v>
      </c>
      <c r="J301" s="4" t="s">
        <v>927</v>
      </c>
      <c r="K301" s="4" t="s">
        <v>2241</v>
      </c>
      <c r="L301" s="4" t="s">
        <v>32</v>
      </c>
      <c r="M301" s="4" t="s">
        <v>33</v>
      </c>
      <c r="N301" s="4" t="s">
        <v>34</v>
      </c>
      <c r="O301" s="4" t="s">
        <v>239</v>
      </c>
      <c r="P301" s="4" t="s">
        <v>1804</v>
      </c>
      <c r="Q301" s="4" t="s">
        <v>1805</v>
      </c>
      <c r="R301" s="4" t="s">
        <v>1621</v>
      </c>
      <c r="S301" s="4" t="s">
        <v>1627</v>
      </c>
      <c r="T301" s="4" t="s">
        <v>1762</v>
      </c>
      <c r="U301" s="4" t="s">
        <v>1763</v>
      </c>
    </row>
    <row r="302" spans="1:21" s="4" customFormat="1" x14ac:dyDescent="0.35">
      <c r="A302" s="4" t="s">
        <v>1806</v>
      </c>
      <c r="B302" s="4" t="s">
        <v>117</v>
      </c>
      <c r="C302" s="4" t="s">
        <v>1435</v>
      </c>
      <c r="D302" s="4" t="s">
        <v>1807</v>
      </c>
      <c r="E302" s="4" t="s">
        <v>1621</v>
      </c>
      <c r="H302" s="4" t="s">
        <v>1808</v>
      </c>
      <c r="J302" s="4" t="s">
        <v>783</v>
      </c>
      <c r="K302" s="4" t="s">
        <v>2241</v>
      </c>
      <c r="L302" s="4" t="s">
        <v>32</v>
      </c>
      <c r="M302" s="4" t="s">
        <v>33</v>
      </c>
      <c r="N302" s="4" t="s">
        <v>34</v>
      </c>
      <c r="O302" s="4" t="s">
        <v>239</v>
      </c>
      <c r="P302" s="4" t="s">
        <v>1809</v>
      </c>
      <c r="Q302" s="4" t="s">
        <v>1810</v>
      </c>
      <c r="R302" s="4" t="s">
        <v>1621</v>
      </c>
      <c r="S302" s="4" t="s">
        <v>1627</v>
      </c>
      <c r="T302" s="4" t="s">
        <v>1762</v>
      </c>
      <c r="U302" s="4" t="s">
        <v>1763</v>
      </c>
    </row>
    <row r="303" spans="1:21" s="4" customFormat="1" x14ac:dyDescent="0.35">
      <c r="A303" s="4" t="s">
        <v>1817</v>
      </c>
      <c r="B303" s="4" t="s">
        <v>117</v>
      </c>
      <c r="C303" s="4" t="s">
        <v>118</v>
      </c>
      <c r="D303" s="4" t="s">
        <v>1811</v>
      </c>
      <c r="E303" s="4" t="s">
        <v>1621</v>
      </c>
      <c r="F303" s="4" t="s">
        <v>1753</v>
      </c>
      <c r="G303" s="4" t="s">
        <v>1812</v>
      </c>
      <c r="H303" s="4" t="s">
        <v>1813</v>
      </c>
      <c r="J303" s="4" t="s">
        <v>1814</v>
      </c>
      <c r="L303" s="4" t="s">
        <v>32</v>
      </c>
      <c r="M303" s="4" t="s">
        <v>33</v>
      </c>
      <c r="N303" s="4" t="s">
        <v>34</v>
      </c>
      <c r="O303" s="4" t="s">
        <v>239</v>
      </c>
      <c r="P303" s="4" t="s">
        <v>1815</v>
      </c>
      <c r="Q303" s="4" t="s">
        <v>1816</v>
      </c>
      <c r="R303" s="4" t="s">
        <v>1621</v>
      </c>
      <c r="S303" s="4" t="s">
        <v>1627</v>
      </c>
      <c r="T303" s="4" t="s">
        <v>1762</v>
      </c>
      <c r="U303" s="4" t="s">
        <v>1763</v>
      </c>
    </row>
    <row r="304" spans="1:21" s="4" customFormat="1" x14ac:dyDescent="0.35">
      <c r="A304" s="4" t="s">
        <v>1824</v>
      </c>
      <c r="B304" s="4" t="s">
        <v>117</v>
      </c>
      <c r="C304" s="4" t="s">
        <v>24</v>
      </c>
      <c r="D304" s="4" t="s">
        <v>1818</v>
      </c>
      <c r="E304" s="4" t="s">
        <v>1621</v>
      </c>
      <c r="G304" s="4" t="s">
        <v>1819</v>
      </c>
      <c r="H304" s="4" t="s">
        <v>1820</v>
      </c>
      <c r="J304" s="4" t="s">
        <v>1821</v>
      </c>
      <c r="L304" s="4" t="s">
        <v>32</v>
      </c>
      <c r="M304" s="4" t="s">
        <v>33</v>
      </c>
      <c r="N304" s="4" t="s">
        <v>34</v>
      </c>
      <c r="O304" s="4" t="s">
        <v>239</v>
      </c>
      <c r="P304" s="4" t="s">
        <v>1822</v>
      </c>
      <c r="Q304" s="4" t="s">
        <v>1823</v>
      </c>
      <c r="R304" s="4" t="s">
        <v>1621</v>
      </c>
      <c r="S304" s="4" t="s">
        <v>1627</v>
      </c>
      <c r="T304" s="4" t="s">
        <v>1762</v>
      </c>
      <c r="U304" s="4" t="s">
        <v>1763</v>
      </c>
    </row>
    <row r="305" spans="1:21" s="4" customFormat="1" x14ac:dyDescent="0.35">
      <c r="A305" s="4" t="s">
        <v>1825</v>
      </c>
      <c r="B305" s="4" t="s">
        <v>117</v>
      </c>
      <c r="C305" s="4" t="s">
        <v>1435</v>
      </c>
      <c r="D305" s="4" t="s">
        <v>1826</v>
      </c>
      <c r="E305" s="4" t="s">
        <v>1621</v>
      </c>
      <c r="H305" s="4" t="s">
        <v>1827</v>
      </c>
      <c r="J305" s="4" t="s">
        <v>238</v>
      </c>
      <c r="K305" s="4" t="s">
        <v>2246</v>
      </c>
      <c r="L305" s="4" t="s">
        <v>32</v>
      </c>
      <c r="M305" s="4" t="s">
        <v>33</v>
      </c>
      <c r="N305" s="4" t="s">
        <v>34</v>
      </c>
      <c r="O305" s="4" t="s">
        <v>239</v>
      </c>
      <c r="P305" s="4" t="s">
        <v>1828</v>
      </c>
      <c r="Q305" s="4" t="s">
        <v>1829</v>
      </c>
      <c r="R305" s="4" t="s">
        <v>1621</v>
      </c>
      <c r="S305" s="4" t="s">
        <v>1627</v>
      </c>
      <c r="T305" s="4" t="s">
        <v>1762</v>
      </c>
      <c r="U305" s="4" t="s">
        <v>1763</v>
      </c>
    </row>
    <row r="306" spans="1:21" s="4" customFormat="1" x14ac:dyDescent="0.35">
      <c r="A306" s="4" t="s">
        <v>1830</v>
      </c>
      <c r="B306" s="4" t="s">
        <v>117</v>
      </c>
      <c r="C306" s="4" t="s">
        <v>1435</v>
      </c>
      <c r="D306" s="4" t="s">
        <v>1831</v>
      </c>
      <c r="E306" s="4" t="s">
        <v>1621</v>
      </c>
      <c r="H306" s="4" t="s">
        <v>1832</v>
      </c>
      <c r="J306" s="4" t="s">
        <v>798</v>
      </c>
      <c r="K306" s="4" t="s">
        <v>2241</v>
      </c>
      <c r="L306" s="4" t="s">
        <v>32</v>
      </c>
      <c r="M306" s="4" t="s">
        <v>33</v>
      </c>
      <c r="N306" s="4" t="s">
        <v>34</v>
      </c>
      <c r="O306" s="4" t="s">
        <v>239</v>
      </c>
      <c r="P306" s="4" t="s">
        <v>1833</v>
      </c>
      <c r="Q306" s="4" t="s">
        <v>1834</v>
      </c>
      <c r="R306" s="4" t="s">
        <v>1621</v>
      </c>
      <c r="S306" s="4" t="s">
        <v>1627</v>
      </c>
      <c r="T306" s="4" t="s">
        <v>1762</v>
      </c>
      <c r="U306" s="4" t="s">
        <v>1763</v>
      </c>
    </row>
    <row r="307" spans="1:21" s="4" customFormat="1" x14ac:dyDescent="0.35">
      <c r="A307" s="4" t="s">
        <v>1841</v>
      </c>
      <c r="B307" s="4" t="s">
        <v>117</v>
      </c>
      <c r="C307" s="4" t="s">
        <v>1435</v>
      </c>
      <c r="D307" s="4" t="s">
        <v>1835</v>
      </c>
      <c r="E307" s="4" t="s">
        <v>1621</v>
      </c>
      <c r="H307" s="4" t="s">
        <v>1836</v>
      </c>
      <c r="J307" s="4" t="s">
        <v>247</v>
      </c>
      <c r="K307" s="4" t="s">
        <v>31</v>
      </c>
      <c r="L307" s="4" t="s">
        <v>32</v>
      </c>
      <c r="M307" s="4" t="s">
        <v>33</v>
      </c>
      <c r="N307" s="4" t="s">
        <v>34</v>
      </c>
      <c r="O307" s="4" t="s">
        <v>35</v>
      </c>
      <c r="P307" s="4" t="s">
        <v>1837</v>
      </c>
      <c r="Q307" s="4" t="s">
        <v>1838</v>
      </c>
      <c r="R307" s="4" t="s">
        <v>1621</v>
      </c>
      <c r="S307" s="4" t="s">
        <v>1627</v>
      </c>
      <c r="T307" s="4" t="s">
        <v>1839</v>
      </c>
      <c r="U307" s="4" t="s">
        <v>1840</v>
      </c>
    </row>
    <row r="308" spans="1:21" s="4" customFormat="1" x14ac:dyDescent="0.35">
      <c r="A308" s="4" t="s">
        <v>1846</v>
      </c>
      <c r="B308" s="4" t="s">
        <v>117</v>
      </c>
      <c r="C308" s="4" t="s">
        <v>24</v>
      </c>
      <c r="D308" s="4" t="s">
        <v>1842</v>
      </c>
      <c r="E308" s="4" t="s">
        <v>1621</v>
      </c>
      <c r="H308" s="4" t="s">
        <v>1843</v>
      </c>
      <c r="J308" s="4" t="s">
        <v>247</v>
      </c>
      <c r="K308" s="4" t="s">
        <v>31</v>
      </c>
      <c r="L308" s="4" t="s">
        <v>32</v>
      </c>
      <c r="M308" s="4" t="s">
        <v>33</v>
      </c>
      <c r="N308" s="4" t="s">
        <v>34</v>
      </c>
      <c r="O308" s="4" t="s">
        <v>35</v>
      </c>
      <c r="P308" s="4" t="s">
        <v>1844</v>
      </c>
      <c r="Q308" s="4" t="s">
        <v>1845</v>
      </c>
      <c r="R308" s="4" t="s">
        <v>1621</v>
      </c>
      <c r="S308" s="4" t="s">
        <v>1627</v>
      </c>
      <c r="T308" s="4" t="s">
        <v>1839</v>
      </c>
      <c r="U308" s="4" t="s">
        <v>1840</v>
      </c>
    </row>
    <row r="309" spans="1:21" s="4" customFormat="1" x14ac:dyDescent="0.35">
      <c r="A309" s="4" t="s">
        <v>1851</v>
      </c>
      <c r="B309" s="4" t="s">
        <v>117</v>
      </c>
      <c r="C309" s="4" t="s">
        <v>24</v>
      </c>
      <c r="D309" s="4" t="s">
        <v>1847</v>
      </c>
      <c r="E309" s="4" t="s">
        <v>1621</v>
      </c>
      <c r="H309" s="4" t="s">
        <v>1848</v>
      </c>
      <c r="J309" s="4" t="s">
        <v>247</v>
      </c>
      <c r="K309" s="4" t="s">
        <v>31</v>
      </c>
      <c r="L309" s="4" t="s">
        <v>32</v>
      </c>
      <c r="M309" s="4" t="s">
        <v>33</v>
      </c>
      <c r="N309" s="4" t="s">
        <v>34</v>
      </c>
      <c r="O309" s="4" t="s">
        <v>35</v>
      </c>
      <c r="P309" s="4" t="s">
        <v>1849</v>
      </c>
      <c r="Q309" s="4" t="s">
        <v>1850</v>
      </c>
      <c r="R309" s="4" t="s">
        <v>1621</v>
      </c>
      <c r="S309" s="4" t="s">
        <v>1627</v>
      </c>
      <c r="T309" s="4" t="s">
        <v>1839</v>
      </c>
      <c r="U309" s="4" t="s">
        <v>1840</v>
      </c>
    </row>
    <row r="310" spans="1:21" s="4" customFormat="1" x14ac:dyDescent="0.35">
      <c r="A310" s="4" t="s">
        <v>1852</v>
      </c>
      <c r="B310" s="4" t="s">
        <v>23</v>
      </c>
      <c r="C310" s="4" t="s">
        <v>24</v>
      </c>
      <c r="D310" s="4" t="s">
        <v>1853</v>
      </c>
      <c r="E310" s="4" t="s">
        <v>1621</v>
      </c>
      <c r="G310" s="4" t="s">
        <v>1854</v>
      </c>
      <c r="H310" s="4" t="s">
        <v>1855</v>
      </c>
      <c r="J310" s="4" t="s">
        <v>1856</v>
      </c>
      <c r="K310" s="4" t="s">
        <v>2241</v>
      </c>
      <c r="L310" s="4" t="s">
        <v>32</v>
      </c>
      <c r="M310" s="4" t="s">
        <v>33</v>
      </c>
      <c r="N310" s="4" t="s">
        <v>34</v>
      </c>
      <c r="O310" s="4" t="s">
        <v>35</v>
      </c>
      <c r="P310" s="4" t="s">
        <v>1857</v>
      </c>
      <c r="Q310" s="4" t="s">
        <v>1858</v>
      </c>
      <c r="R310" s="4" t="s">
        <v>1621</v>
      </c>
      <c r="S310" s="4" t="s">
        <v>1627</v>
      </c>
      <c r="T310" s="4" t="s">
        <v>1839</v>
      </c>
      <c r="U310" s="4" t="s">
        <v>1840</v>
      </c>
    </row>
    <row r="311" spans="1:21" s="4" customFormat="1" x14ac:dyDescent="0.35">
      <c r="A311" s="4" t="s">
        <v>1859</v>
      </c>
      <c r="B311" s="4" t="s">
        <v>23</v>
      </c>
      <c r="C311" s="4" t="s">
        <v>1435</v>
      </c>
      <c r="D311" s="4" t="s">
        <v>1860</v>
      </c>
      <c r="E311" s="4" t="s">
        <v>1621</v>
      </c>
      <c r="H311" s="4" t="s">
        <v>1861</v>
      </c>
      <c r="J311" s="4" t="s">
        <v>1862</v>
      </c>
      <c r="K311" s="4" t="s">
        <v>2236</v>
      </c>
      <c r="L311" s="4" t="s">
        <v>32</v>
      </c>
      <c r="M311" s="4" t="s">
        <v>33</v>
      </c>
      <c r="N311" s="4" t="s">
        <v>34</v>
      </c>
      <c r="O311" s="4" t="s">
        <v>35</v>
      </c>
      <c r="P311" s="4" t="s">
        <v>1863</v>
      </c>
      <c r="Q311" s="4" t="s">
        <v>1864</v>
      </c>
      <c r="R311" s="4" t="s">
        <v>1621</v>
      </c>
      <c r="S311" s="4" t="s">
        <v>1627</v>
      </c>
      <c r="T311" s="4" t="s">
        <v>1839</v>
      </c>
      <c r="U311" s="4" t="s">
        <v>1840</v>
      </c>
    </row>
    <row r="312" spans="1:21" s="4" customFormat="1" x14ac:dyDescent="0.35">
      <c r="A312" s="4" t="s">
        <v>1869</v>
      </c>
      <c r="B312" s="4" t="s">
        <v>23</v>
      </c>
      <c r="C312" s="4" t="s">
        <v>24</v>
      </c>
      <c r="D312" s="4" t="s">
        <v>1865</v>
      </c>
      <c r="E312" s="4" t="s">
        <v>1621</v>
      </c>
      <c r="H312" s="4" t="s">
        <v>1866</v>
      </c>
      <c r="J312" s="4" t="s">
        <v>775</v>
      </c>
      <c r="K312" s="4" t="s">
        <v>2241</v>
      </c>
      <c r="L312" s="4" t="s">
        <v>32</v>
      </c>
      <c r="M312" s="4" t="s">
        <v>33</v>
      </c>
      <c r="N312" s="4" t="s">
        <v>34</v>
      </c>
      <c r="O312" s="4" t="s">
        <v>35</v>
      </c>
      <c r="P312" s="4" t="s">
        <v>1867</v>
      </c>
      <c r="Q312" s="4" t="s">
        <v>1868</v>
      </c>
      <c r="R312" s="4" t="s">
        <v>1621</v>
      </c>
      <c r="S312" s="4" t="s">
        <v>1627</v>
      </c>
      <c r="T312" s="4" t="s">
        <v>1621</v>
      </c>
      <c r="U312" s="4" t="s">
        <v>1628</v>
      </c>
    </row>
    <row r="313" spans="1:21" s="4" customFormat="1" x14ac:dyDescent="0.35">
      <c r="A313" s="4" t="s">
        <v>1876</v>
      </c>
      <c r="B313" s="4" t="s">
        <v>117</v>
      </c>
      <c r="C313" s="4" t="s">
        <v>152</v>
      </c>
      <c r="D313" s="4" t="s">
        <v>1870</v>
      </c>
      <c r="E313" s="4" t="s">
        <v>1621</v>
      </c>
      <c r="H313" s="4" t="s">
        <v>1871</v>
      </c>
      <c r="J313" s="4" t="s">
        <v>247</v>
      </c>
      <c r="K313" s="4" t="s">
        <v>31</v>
      </c>
      <c r="L313" s="4" t="s">
        <v>32</v>
      </c>
      <c r="M313" s="4" t="s">
        <v>33</v>
      </c>
      <c r="N313" s="4" t="s">
        <v>34</v>
      </c>
      <c r="O313" s="4" t="s">
        <v>35</v>
      </c>
      <c r="P313" s="4" t="s">
        <v>1872</v>
      </c>
      <c r="Q313" s="4" t="s">
        <v>1873</v>
      </c>
      <c r="R313" s="4" t="s">
        <v>1621</v>
      </c>
      <c r="S313" s="4" t="s">
        <v>1627</v>
      </c>
      <c r="T313" s="4" t="s">
        <v>1874</v>
      </c>
      <c r="U313" s="4" t="s">
        <v>1875</v>
      </c>
    </row>
    <row r="314" spans="1:21" s="4" customFormat="1" x14ac:dyDescent="0.35">
      <c r="A314" s="4" t="s">
        <v>1877</v>
      </c>
      <c r="B314" s="4" t="s">
        <v>117</v>
      </c>
      <c r="C314" s="4" t="s">
        <v>54</v>
      </c>
      <c r="D314" s="4" t="s">
        <v>1878</v>
      </c>
      <c r="E314" s="4" t="s">
        <v>1621</v>
      </c>
      <c r="H314" s="4" t="s">
        <v>1879</v>
      </c>
      <c r="J314" s="4" t="s">
        <v>1880</v>
      </c>
      <c r="K314" s="4" t="s">
        <v>2241</v>
      </c>
      <c r="L314" s="4" t="s">
        <v>32</v>
      </c>
      <c r="M314" s="4" t="s">
        <v>33</v>
      </c>
      <c r="N314" s="4" t="s">
        <v>34</v>
      </c>
      <c r="O314" s="4" t="s">
        <v>239</v>
      </c>
      <c r="P314" s="4" t="s">
        <v>1881</v>
      </c>
      <c r="Q314" s="4" t="s">
        <v>1882</v>
      </c>
      <c r="R314" s="4" t="s">
        <v>1621</v>
      </c>
      <c r="S314" s="4" t="s">
        <v>1627</v>
      </c>
      <c r="T314" s="4" t="s">
        <v>1874</v>
      </c>
      <c r="U314" s="4" t="s">
        <v>1875</v>
      </c>
    </row>
    <row r="315" spans="1:21" s="4" customFormat="1" x14ac:dyDescent="0.35">
      <c r="A315" s="4" t="s">
        <v>1891</v>
      </c>
      <c r="B315" s="4" t="s">
        <v>23</v>
      </c>
      <c r="C315" s="4" t="s">
        <v>63</v>
      </c>
      <c r="D315" s="4" t="s">
        <v>1883</v>
      </c>
      <c r="E315" s="4" t="s">
        <v>1884</v>
      </c>
      <c r="F315" s="4" t="s">
        <v>1885</v>
      </c>
      <c r="H315" s="4" t="s">
        <v>1886</v>
      </c>
      <c r="J315" s="4" t="s">
        <v>64</v>
      </c>
      <c r="L315" s="4" t="s">
        <v>32</v>
      </c>
      <c r="M315" s="4" t="s">
        <v>33</v>
      </c>
      <c r="N315" s="4" t="s">
        <v>34</v>
      </c>
      <c r="O315" s="4" t="s">
        <v>35</v>
      </c>
      <c r="P315" s="4" t="s">
        <v>1887</v>
      </c>
      <c r="Q315" s="4" t="s">
        <v>1888</v>
      </c>
      <c r="R315" s="4" t="s">
        <v>1884</v>
      </c>
      <c r="S315" s="4" t="s">
        <v>1889</v>
      </c>
      <c r="T315" s="4" t="s">
        <v>1884</v>
      </c>
      <c r="U315" s="4" t="s">
        <v>1890</v>
      </c>
    </row>
    <row r="316" spans="1:21" s="4" customFormat="1" x14ac:dyDescent="0.35">
      <c r="A316" s="4" t="s">
        <v>1892</v>
      </c>
      <c r="B316" s="4" t="s">
        <v>134</v>
      </c>
      <c r="C316" s="4" t="s">
        <v>1893</v>
      </c>
      <c r="D316" s="4" t="s">
        <v>1894</v>
      </c>
      <c r="E316" s="4" t="s">
        <v>1884</v>
      </c>
      <c r="F316" s="4" t="s">
        <v>1365</v>
      </c>
      <c r="J316" s="4" t="s">
        <v>64</v>
      </c>
      <c r="K316" s="4" t="s">
        <v>31</v>
      </c>
      <c r="L316" s="4" t="s">
        <v>58</v>
      </c>
      <c r="M316" s="4" t="s">
        <v>33</v>
      </c>
      <c r="N316" s="4" t="s">
        <v>34</v>
      </c>
      <c r="O316" s="4" t="s">
        <v>35</v>
      </c>
      <c r="P316" s="4" t="s">
        <v>1895</v>
      </c>
      <c r="Q316" s="4" t="s">
        <v>1896</v>
      </c>
      <c r="R316" s="4" t="s">
        <v>1884</v>
      </c>
      <c r="S316" s="4" t="s">
        <v>1889</v>
      </c>
      <c r="T316" s="4" t="s">
        <v>1884</v>
      </c>
      <c r="U316" s="4" t="s">
        <v>1890</v>
      </c>
    </row>
    <row r="317" spans="1:21" s="4" customFormat="1" x14ac:dyDescent="0.35">
      <c r="A317" s="4" t="s">
        <v>1897</v>
      </c>
      <c r="B317" s="4" t="s">
        <v>62</v>
      </c>
      <c r="C317" s="4" t="s">
        <v>63</v>
      </c>
      <c r="D317" s="4" t="s">
        <v>1898</v>
      </c>
      <c r="E317" s="4" t="s">
        <v>1884</v>
      </c>
      <c r="J317" s="4" t="s">
        <v>64</v>
      </c>
      <c r="K317" s="4" t="s">
        <v>2228</v>
      </c>
      <c r="L317" s="4" t="s">
        <v>65</v>
      </c>
      <c r="M317" s="4" t="s">
        <v>33</v>
      </c>
      <c r="N317" s="4" t="s">
        <v>34</v>
      </c>
      <c r="O317" s="4" t="s">
        <v>35</v>
      </c>
      <c r="P317" s="4" t="s">
        <v>1899</v>
      </c>
      <c r="Q317" s="4" t="s">
        <v>1900</v>
      </c>
      <c r="R317" s="4" t="s">
        <v>1884</v>
      </c>
      <c r="S317" s="4" t="s">
        <v>1889</v>
      </c>
      <c r="T317" s="4" t="s">
        <v>1884</v>
      </c>
      <c r="U317" s="4" t="s">
        <v>1890</v>
      </c>
    </row>
    <row r="318" spans="1:21" s="4" customFormat="1" x14ac:dyDescent="0.35">
      <c r="A318" s="4" t="s">
        <v>1901</v>
      </c>
      <c r="B318" s="4" t="s">
        <v>53</v>
      </c>
      <c r="C318" s="4" t="s">
        <v>24</v>
      </c>
      <c r="D318" s="4" t="s">
        <v>1902</v>
      </c>
      <c r="E318" s="4" t="s">
        <v>1884</v>
      </c>
      <c r="F318" s="4" t="s">
        <v>1365</v>
      </c>
      <c r="J318" s="4" t="s">
        <v>64</v>
      </c>
      <c r="K318" s="4" t="s">
        <v>2228</v>
      </c>
      <c r="L318" s="4" t="s">
        <v>58</v>
      </c>
      <c r="M318" s="4" t="s">
        <v>33</v>
      </c>
      <c r="N318" s="4" t="s">
        <v>34</v>
      </c>
      <c r="O318" s="4" t="s">
        <v>35</v>
      </c>
      <c r="P318" s="4" t="s">
        <v>1899</v>
      </c>
      <c r="Q318" s="4" t="s">
        <v>1900</v>
      </c>
      <c r="R318" s="4" t="s">
        <v>1884</v>
      </c>
      <c r="S318" s="4" t="s">
        <v>1889</v>
      </c>
      <c r="T318" s="4" t="s">
        <v>1884</v>
      </c>
      <c r="U318" s="4" t="s">
        <v>1890</v>
      </c>
    </row>
    <row r="319" spans="1:21" s="4" customFormat="1" x14ac:dyDescent="0.35">
      <c r="A319" s="4" t="s">
        <v>1910</v>
      </c>
      <c r="B319" s="4" t="s">
        <v>62</v>
      </c>
      <c r="C319" s="4" t="s">
        <v>24</v>
      </c>
      <c r="D319" s="4" t="s">
        <v>1903</v>
      </c>
      <c r="E319" s="4" t="s">
        <v>1884</v>
      </c>
      <c r="G319" s="4" t="s">
        <v>1904</v>
      </c>
      <c r="H319" s="4" t="s">
        <v>1905</v>
      </c>
      <c r="J319" s="4" t="s">
        <v>64</v>
      </c>
      <c r="K319" s="4" t="s">
        <v>31</v>
      </c>
      <c r="L319" s="4" t="s">
        <v>65</v>
      </c>
      <c r="M319" s="4" t="s">
        <v>33</v>
      </c>
      <c r="N319" s="4" t="s">
        <v>34</v>
      </c>
      <c r="O319" s="4" t="s">
        <v>35</v>
      </c>
      <c r="P319" s="4" t="s">
        <v>1906</v>
      </c>
      <c r="Q319" s="4" t="s">
        <v>1907</v>
      </c>
      <c r="R319" s="4" t="s">
        <v>1884</v>
      </c>
      <c r="S319" s="4" t="s">
        <v>1889</v>
      </c>
      <c r="T319" s="4" t="s">
        <v>1908</v>
      </c>
      <c r="U319" s="4" t="s">
        <v>1909</v>
      </c>
    </row>
    <row r="320" spans="1:21" s="4" customFormat="1" x14ac:dyDescent="0.35">
      <c r="A320" s="4" t="s">
        <v>1918</v>
      </c>
      <c r="B320" s="4" t="s">
        <v>23</v>
      </c>
      <c r="C320" s="4" t="s">
        <v>1435</v>
      </c>
      <c r="D320" s="4" t="s">
        <v>1911</v>
      </c>
      <c r="E320" s="4" t="s">
        <v>1884</v>
      </c>
      <c r="G320" s="4" t="s">
        <v>1912</v>
      </c>
      <c r="H320" s="4" t="s">
        <v>1913</v>
      </c>
      <c r="J320" s="4" t="s">
        <v>64</v>
      </c>
      <c r="K320" s="4" t="s">
        <v>2228</v>
      </c>
      <c r="L320" s="4" t="s">
        <v>32</v>
      </c>
      <c r="M320" s="4" t="s">
        <v>33</v>
      </c>
      <c r="N320" s="4" t="s">
        <v>34</v>
      </c>
      <c r="O320" s="4" t="s">
        <v>35</v>
      </c>
      <c r="P320" s="4" t="s">
        <v>1914</v>
      </c>
      <c r="Q320" s="4" t="s">
        <v>1915</v>
      </c>
      <c r="R320" s="4" t="s">
        <v>1884</v>
      </c>
      <c r="S320" s="4" t="s">
        <v>1889</v>
      </c>
      <c r="T320" s="4" t="s">
        <v>1916</v>
      </c>
      <c r="U320" s="4" t="s">
        <v>1917</v>
      </c>
    </row>
    <row r="321" spans="1:21" s="4" customFormat="1" x14ac:dyDescent="0.35">
      <c r="A321" s="4" t="s">
        <v>1919</v>
      </c>
      <c r="B321" s="4" t="s">
        <v>23</v>
      </c>
      <c r="C321" s="4" t="s">
        <v>24</v>
      </c>
      <c r="E321" s="4" t="s">
        <v>1884</v>
      </c>
      <c r="L321" s="4" t="s">
        <v>32</v>
      </c>
      <c r="M321" s="4" t="s">
        <v>33</v>
      </c>
      <c r="N321" s="4" t="s">
        <v>34</v>
      </c>
      <c r="O321" s="4" t="s">
        <v>35</v>
      </c>
      <c r="P321" s="4" t="s">
        <v>1920</v>
      </c>
      <c r="Q321" s="4" t="s">
        <v>1921</v>
      </c>
      <c r="R321" s="4" t="s">
        <v>1884</v>
      </c>
      <c r="S321" s="4" t="s">
        <v>1889</v>
      </c>
      <c r="T321" s="4" t="s">
        <v>1922</v>
      </c>
      <c r="U321" s="4" t="s">
        <v>1923</v>
      </c>
    </row>
    <row r="322" spans="1:21" s="4" customFormat="1" x14ac:dyDescent="0.35">
      <c r="A322" s="4" t="s">
        <v>1924</v>
      </c>
      <c r="B322" s="4" t="s">
        <v>23</v>
      </c>
      <c r="C322" s="4" t="s">
        <v>635</v>
      </c>
      <c r="D322" s="4" t="s">
        <v>1925</v>
      </c>
      <c r="E322" s="4" t="s">
        <v>1884</v>
      </c>
      <c r="G322" s="4" t="s">
        <v>1926</v>
      </c>
      <c r="H322" s="4" t="s">
        <v>1927</v>
      </c>
      <c r="J322" s="4" t="s">
        <v>64</v>
      </c>
      <c r="K322" s="4" t="s">
        <v>2228</v>
      </c>
      <c r="L322" s="4" t="s">
        <v>32</v>
      </c>
      <c r="M322" s="4" t="s">
        <v>33</v>
      </c>
      <c r="N322" s="4" t="s">
        <v>34</v>
      </c>
      <c r="O322" s="4" t="s">
        <v>35</v>
      </c>
      <c r="P322" s="4" t="s">
        <v>1928</v>
      </c>
      <c r="Q322" s="4" t="s">
        <v>1929</v>
      </c>
      <c r="R322" s="4" t="s">
        <v>1884</v>
      </c>
      <c r="S322" s="4" t="s">
        <v>1889</v>
      </c>
      <c r="T322" s="4" t="s">
        <v>1922</v>
      </c>
      <c r="U322" s="4" t="s">
        <v>1923</v>
      </c>
    </row>
    <row r="323" spans="1:21" s="4" customFormat="1" x14ac:dyDescent="0.35">
      <c r="A323" s="4" t="s">
        <v>1935</v>
      </c>
      <c r="B323" s="4" t="s">
        <v>117</v>
      </c>
      <c r="C323" s="4" t="s">
        <v>635</v>
      </c>
      <c r="D323" s="4" t="s">
        <v>1930</v>
      </c>
      <c r="E323" s="4" t="s">
        <v>1884</v>
      </c>
      <c r="G323" s="4" t="s">
        <v>1931</v>
      </c>
      <c r="H323" s="4" t="s">
        <v>1932</v>
      </c>
      <c r="J323" s="4" t="s">
        <v>247</v>
      </c>
      <c r="K323" s="4" t="s">
        <v>31</v>
      </c>
      <c r="L323" s="4" t="s">
        <v>32</v>
      </c>
      <c r="M323" s="4" t="s">
        <v>33</v>
      </c>
      <c r="N323" s="4" t="s">
        <v>34</v>
      </c>
      <c r="O323" s="4" t="s">
        <v>35</v>
      </c>
      <c r="P323" s="4" t="s">
        <v>1933</v>
      </c>
      <c r="Q323" s="4" t="s">
        <v>1934</v>
      </c>
      <c r="R323" s="4" t="s">
        <v>1884</v>
      </c>
      <c r="S323" s="4" t="s">
        <v>1889</v>
      </c>
      <c r="T323" s="4" t="s">
        <v>1922</v>
      </c>
      <c r="U323" s="4" t="s">
        <v>1923</v>
      </c>
    </row>
    <row r="324" spans="1:21" s="4" customFormat="1" x14ac:dyDescent="0.35">
      <c r="A324" s="4" t="s">
        <v>1936</v>
      </c>
      <c r="B324" s="4" t="s">
        <v>23</v>
      </c>
      <c r="C324" s="4" t="s">
        <v>635</v>
      </c>
      <c r="D324" s="4" t="s">
        <v>1937</v>
      </c>
      <c r="E324" s="4" t="s">
        <v>1884</v>
      </c>
      <c r="G324" s="4" t="s">
        <v>1926</v>
      </c>
      <c r="H324" s="4" t="s">
        <v>1927</v>
      </c>
      <c r="J324" s="4" t="s">
        <v>1938</v>
      </c>
      <c r="L324" s="4" t="s">
        <v>32</v>
      </c>
      <c r="M324" s="4" t="s">
        <v>141</v>
      </c>
      <c r="N324" s="4" t="s">
        <v>34</v>
      </c>
      <c r="O324" s="4" t="s">
        <v>35</v>
      </c>
      <c r="P324" s="4" t="s">
        <v>1939</v>
      </c>
      <c r="Q324" s="4" t="s">
        <v>1940</v>
      </c>
      <c r="R324" s="4" t="s">
        <v>1884</v>
      </c>
      <c r="S324" s="4" t="s">
        <v>1889</v>
      </c>
      <c r="T324" s="4" t="s">
        <v>1922</v>
      </c>
      <c r="U324" s="4" t="s">
        <v>1923</v>
      </c>
    </row>
    <row r="325" spans="1:21" s="4" customFormat="1" x14ac:dyDescent="0.35">
      <c r="A325" s="4" t="s">
        <v>1948</v>
      </c>
      <c r="B325" s="4" t="s">
        <v>117</v>
      </c>
      <c r="C325" s="4" t="s">
        <v>209</v>
      </c>
      <c r="D325" s="4" t="s">
        <v>1941</v>
      </c>
      <c r="E325" s="4" t="s">
        <v>1884</v>
      </c>
      <c r="H325" s="4" t="s">
        <v>1942</v>
      </c>
      <c r="J325" s="4" t="s">
        <v>1943</v>
      </c>
      <c r="K325" s="4" t="s">
        <v>31</v>
      </c>
      <c r="L325" s="4" t="s">
        <v>32</v>
      </c>
      <c r="M325" s="4" t="s">
        <v>33</v>
      </c>
      <c r="N325" s="4" t="s">
        <v>34</v>
      </c>
      <c r="O325" s="4" t="s">
        <v>35</v>
      </c>
      <c r="P325" s="4" t="s">
        <v>1944</v>
      </c>
      <c r="Q325" s="4" t="s">
        <v>1945</v>
      </c>
      <c r="R325" s="4" t="s">
        <v>1884</v>
      </c>
      <c r="S325" s="4" t="s">
        <v>1889</v>
      </c>
      <c r="T325" s="4" t="s">
        <v>1946</v>
      </c>
      <c r="U325" s="4" t="s">
        <v>1947</v>
      </c>
    </row>
    <row r="326" spans="1:21" s="4" customFormat="1" x14ac:dyDescent="0.35">
      <c r="A326" s="4" t="s">
        <v>1949</v>
      </c>
      <c r="B326" s="4" t="s">
        <v>23</v>
      </c>
      <c r="C326" s="4" t="s">
        <v>209</v>
      </c>
      <c r="D326" s="4" t="s">
        <v>1950</v>
      </c>
      <c r="E326" s="4" t="s">
        <v>1884</v>
      </c>
      <c r="G326" s="4" t="s">
        <v>1951</v>
      </c>
      <c r="H326" s="4" t="s">
        <v>1952</v>
      </c>
      <c r="J326" s="4" t="s">
        <v>1943</v>
      </c>
      <c r="K326" s="4" t="s">
        <v>31</v>
      </c>
      <c r="L326" s="4" t="s">
        <v>32</v>
      </c>
      <c r="M326" s="4" t="s">
        <v>33</v>
      </c>
      <c r="N326" s="4" t="s">
        <v>34</v>
      </c>
      <c r="O326" s="4" t="s">
        <v>35</v>
      </c>
      <c r="P326" s="4" t="s">
        <v>1953</v>
      </c>
      <c r="Q326" s="4" t="s">
        <v>1954</v>
      </c>
      <c r="R326" s="4" t="s">
        <v>1884</v>
      </c>
      <c r="S326" s="4" t="s">
        <v>1889</v>
      </c>
      <c r="T326" s="4" t="s">
        <v>1946</v>
      </c>
      <c r="U326" s="4" t="s">
        <v>1947</v>
      </c>
    </row>
    <row r="327" spans="1:21" s="4" customFormat="1" x14ac:dyDescent="0.35">
      <c r="A327" s="4" t="s">
        <v>1955</v>
      </c>
      <c r="B327" s="4" t="s">
        <v>23</v>
      </c>
      <c r="C327" s="4" t="s">
        <v>209</v>
      </c>
      <c r="D327" s="4" t="s">
        <v>1956</v>
      </c>
      <c r="E327" s="4" t="s">
        <v>1884</v>
      </c>
      <c r="J327" s="4" t="s">
        <v>1957</v>
      </c>
      <c r="L327" s="4" t="s">
        <v>32</v>
      </c>
      <c r="M327" s="4" t="s">
        <v>33</v>
      </c>
      <c r="N327" s="4" t="s">
        <v>34</v>
      </c>
      <c r="O327" s="4" t="s">
        <v>35</v>
      </c>
      <c r="P327" s="4" t="s">
        <v>1958</v>
      </c>
      <c r="Q327" s="4" t="s">
        <v>1959</v>
      </c>
      <c r="R327" s="4" t="s">
        <v>1884</v>
      </c>
      <c r="S327" s="4" t="s">
        <v>1889</v>
      </c>
      <c r="T327" s="4" t="s">
        <v>1946</v>
      </c>
      <c r="U327" s="4" t="s">
        <v>1947</v>
      </c>
    </row>
    <row r="328" spans="1:21" s="4" customFormat="1" x14ac:dyDescent="0.35">
      <c r="A328" s="4" t="s">
        <v>1960</v>
      </c>
      <c r="B328" s="4" t="s">
        <v>117</v>
      </c>
      <c r="C328" s="4" t="s">
        <v>24</v>
      </c>
      <c r="D328" s="4" t="s">
        <v>1961</v>
      </c>
      <c r="E328" s="4" t="s">
        <v>1884</v>
      </c>
      <c r="J328" s="4" t="s">
        <v>964</v>
      </c>
      <c r="L328" s="4" t="s">
        <v>32</v>
      </c>
      <c r="M328" s="4" t="s">
        <v>33</v>
      </c>
      <c r="N328" s="4" t="s">
        <v>34</v>
      </c>
      <c r="O328" s="4" t="s">
        <v>35</v>
      </c>
      <c r="P328" s="4" t="s">
        <v>1962</v>
      </c>
      <c r="Q328" s="4" t="s">
        <v>1963</v>
      </c>
      <c r="R328" s="4" t="s">
        <v>1884</v>
      </c>
      <c r="S328" s="4" t="s">
        <v>1889</v>
      </c>
      <c r="T328" s="4" t="s">
        <v>1884</v>
      </c>
      <c r="U328" s="4" t="s">
        <v>1890</v>
      </c>
    </row>
    <row r="329" spans="1:21" s="4" customFormat="1" x14ac:dyDescent="0.35">
      <c r="A329" s="4" t="s">
        <v>1967</v>
      </c>
      <c r="B329" s="4" t="s">
        <v>117</v>
      </c>
      <c r="C329" s="4" t="s">
        <v>260</v>
      </c>
      <c r="D329" s="4" t="s">
        <v>1964</v>
      </c>
      <c r="E329" s="4" t="s">
        <v>1884</v>
      </c>
      <c r="L329" s="4" t="s">
        <v>32</v>
      </c>
      <c r="M329" s="4" t="s">
        <v>33</v>
      </c>
      <c r="N329" s="4" t="s">
        <v>34</v>
      </c>
      <c r="O329" s="4" t="s">
        <v>35</v>
      </c>
      <c r="P329" s="4" t="s">
        <v>1965</v>
      </c>
      <c r="Q329" s="4" t="s">
        <v>1966</v>
      </c>
      <c r="R329" s="4" t="s">
        <v>1884</v>
      </c>
      <c r="S329" s="4" t="s">
        <v>1889</v>
      </c>
      <c r="T329" s="4" t="s">
        <v>1884</v>
      </c>
      <c r="U329" s="4" t="s">
        <v>1890</v>
      </c>
    </row>
    <row r="330" spans="1:21" s="4" customFormat="1" x14ac:dyDescent="0.35">
      <c r="A330" s="4" t="s">
        <v>1968</v>
      </c>
      <c r="B330" s="4" t="s">
        <v>117</v>
      </c>
      <c r="C330" s="4" t="s">
        <v>635</v>
      </c>
      <c r="E330" s="4" t="s">
        <v>1884</v>
      </c>
      <c r="H330" s="4" t="s">
        <v>1969</v>
      </c>
      <c r="L330" s="4" t="s">
        <v>32</v>
      </c>
      <c r="M330" s="4" t="s">
        <v>33</v>
      </c>
      <c r="N330" s="4" t="s">
        <v>34</v>
      </c>
      <c r="O330" s="4" t="s">
        <v>35</v>
      </c>
      <c r="P330" s="4" t="s">
        <v>1970</v>
      </c>
      <c r="Q330" s="4" t="s">
        <v>1971</v>
      </c>
      <c r="R330" s="4" t="s">
        <v>1884</v>
      </c>
      <c r="S330" s="4" t="s">
        <v>1889</v>
      </c>
      <c r="T330" s="4" t="s">
        <v>1972</v>
      </c>
      <c r="U330" s="4" t="s">
        <v>1973</v>
      </c>
    </row>
    <row r="331" spans="1:21" s="4" customFormat="1" x14ac:dyDescent="0.35">
      <c r="A331" s="4" t="s">
        <v>1974</v>
      </c>
      <c r="B331" s="4" t="s">
        <v>23</v>
      </c>
      <c r="C331" s="4" t="s">
        <v>24</v>
      </c>
      <c r="D331" s="4" t="s">
        <v>1975</v>
      </c>
      <c r="E331" s="4" t="s">
        <v>1884</v>
      </c>
      <c r="F331" s="4" t="s">
        <v>1976</v>
      </c>
      <c r="H331" s="4" t="s">
        <v>1977</v>
      </c>
      <c r="J331" s="4" t="s">
        <v>64</v>
      </c>
      <c r="L331" s="4" t="s">
        <v>32</v>
      </c>
      <c r="M331" s="4" t="s">
        <v>33</v>
      </c>
      <c r="N331" s="4" t="s">
        <v>34</v>
      </c>
      <c r="O331" s="4" t="s">
        <v>239</v>
      </c>
      <c r="P331" s="4" t="s">
        <v>1978</v>
      </c>
      <c r="Q331" s="4" t="s">
        <v>1979</v>
      </c>
      <c r="R331" s="4" t="s">
        <v>1884</v>
      </c>
      <c r="S331" s="4" t="s">
        <v>1889</v>
      </c>
      <c r="T331" s="4" t="s">
        <v>1884</v>
      </c>
      <c r="U331" s="4" t="s">
        <v>1890</v>
      </c>
    </row>
    <row r="332" spans="1:21" s="4" customFormat="1" x14ac:dyDescent="0.35">
      <c r="A332" s="4" t="s">
        <v>1980</v>
      </c>
      <c r="B332" s="4" t="s">
        <v>117</v>
      </c>
      <c r="C332" s="4" t="s">
        <v>24</v>
      </c>
      <c r="D332" s="4" t="s">
        <v>1981</v>
      </c>
      <c r="E332" s="4" t="s">
        <v>1884</v>
      </c>
      <c r="G332" s="4" t="s">
        <v>1982</v>
      </c>
      <c r="H332" s="4" t="s">
        <v>1983</v>
      </c>
      <c r="J332" s="4" t="s">
        <v>247</v>
      </c>
      <c r="K332" s="4" t="s">
        <v>2249</v>
      </c>
      <c r="L332" s="4" t="s">
        <v>58</v>
      </c>
      <c r="M332" s="4" t="s">
        <v>33</v>
      </c>
      <c r="N332" s="4" t="s">
        <v>34</v>
      </c>
      <c r="O332" s="4" t="s">
        <v>239</v>
      </c>
      <c r="P332" s="4" t="s">
        <v>1984</v>
      </c>
      <c r="Q332" s="4" t="s">
        <v>1985</v>
      </c>
      <c r="R332" s="4" t="s">
        <v>1884</v>
      </c>
      <c r="S332" s="4" t="s">
        <v>1889</v>
      </c>
      <c r="T332" s="4" t="s">
        <v>1922</v>
      </c>
      <c r="U332" s="4" t="s">
        <v>1923</v>
      </c>
    </row>
    <row r="333" spans="1:21" s="4" customFormat="1" x14ac:dyDescent="0.35">
      <c r="A333" s="4" t="s">
        <v>1986</v>
      </c>
      <c r="B333" s="4" t="s">
        <v>117</v>
      </c>
      <c r="C333" s="4" t="s">
        <v>24</v>
      </c>
      <c r="D333" s="4" t="s">
        <v>1987</v>
      </c>
      <c r="E333" s="4" t="s">
        <v>1884</v>
      </c>
      <c r="G333" s="4" t="s">
        <v>1988</v>
      </c>
      <c r="H333" s="4" t="s">
        <v>1989</v>
      </c>
      <c r="J333" s="4" t="s">
        <v>247</v>
      </c>
      <c r="K333" s="4" t="s">
        <v>31</v>
      </c>
      <c r="L333" s="4" t="s">
        <v>32</v>
      </c>
      <c r="M333" s="4" t="s">
        <v>33</v>
      </c>
      <c r="N333" s="4" t="s">
        <v>34</v>
      </c>
      <c r="O333" s="4" t="s">
        <v>239</v>
      </c>
      <c r="P333" s="4" t="s">
        <v>1984</v>
      </c>
      <c r="Q333" s="4" t="s">
        <v>1985</v>
      </c>
      <c r="R333" s="4" t="s">
        <v>1884</v>
      </c>
      <c r="S333" s="4" t="s">
        <v>1889</v>
      </c>
      <c r="T333" s="4" t="s">
        <v>1922</v>
      </c>
      <c r="U333" s="4" t="s">
        <v>1923</v>
      </c>
    </row>
    <row r="334" spans="1:21" s="4" customFormat="1" x14ac:dyDescent="0.35">
      <c r="A334" s="4" t="s">
        <v>1990</v>
      </c>
      <c r="B334" s="4" t="s">
        <v>117</v>
      </c>
      <c r="C334" s="4" t="s">
        <v>24</v>
      </c>
      <c r="D334" s="4" t="s">
        <v>1991</v>
      </c>
      <c r="E334" s="4" t="s">
        <v>1884</v>
      </c>
      <c r="H334" s="4" t="s">
        <v>1992</v>
      </c>
      <c r="J334" s="4" t="s">
        <v>1189</v>
      </c>
      <c r="K334" s="4" t="s">
        <v>2241</v>
      </c>
      <c r="L334" s="4" t="s">
        <v>32</v>
      </c>
      <c r="M334" s="4" t="s">
        <v>33</v>
      </c>
      <c r="N334" s="4" t="s">
        <v>34</v>
      </c>
      <c r="O334" s="4" t="s">
        <v>239</v>
      </c>
      <c r="P334" s="4" t="s">
        <v>1993</v>
      </c>
      <c r="Q334" s="4" t="s">
        <v>1994</v>
      </c>
      <c r="R334" s="4" t="s">
        <v>1884</v>
      </c>
      <c r="S334" s="4" t="s">
        <v>1889</v>
      </c>
      <c r="T334" s="4" t="s">
        <v>1884</v>
      </c>
      <c r="U334" s="4" t="s">
        <v>1890</v>
      </c>
    </row>
    <row r="335" spans="1:21" s="4" customFormat="1" x14ac:dyDescent="0.35">
      <c r="A335" s="4" t="s">
        <v>1995</v>
      </c>
      <c r="B335" s="4" t="s">
        <v>117</v>
      </c>
      <c r="C335" s="4" t="s">
        <v>24</v>
      </c>
      <c r="D335" s="4" t="s">
        <v>1996</v>
      </c>
      <c r="E335" s="4" t="s">
        <v>1884</v>
      </c>
      <c r="H335" s="4" t="s">
        <v>1997</v>
      </c>
      <c r="J335" s="4" t="s">
        <v>1998</v>
      </c>
      <c r="L335" s="4" t="s">
        <v>32</v>
      </c>
      <c r="M335" s="4" t="s">
        <v>141</v>
      </c>
      <c r="N335" s="4" t="s">
        <v>34</v>
      </c>
      <c r="O335" s="4" t="s">
        <v>239</v>
      </c>
      <c r="P335" s="4" t="s">
        <v>1999</v>
      </c>
      <c r="Q335" s="4" t="s">
        <v>2000</v>
      </c>
      <c r="R335" s="4" t="s">
        <v>1884</v>
      </c>
      <c r="S335" s="4" t="s">
        <v>1889</v>
      </c>
      <c r="T335" s="4" t="s">
        <v>1884</v>
      </c>
      <c r="U335" s="4" t="s">
        <v>1890</v>
      </c>
    </row>
    <row r="336" spans="1:21" s="4" customFormat="1" x14ac:dyDescent="0.35">
      <c r="A336" s="4" t="s">
        <v>2006</v>
      </c>
      <c r="B336" s="4" t="s">
        <v>23</v>
      </c>
      <c r="C336" s="4" t="s">
        <v>24</v>
      </c>
      <c r="D336" s="4" t="s">
        <v>2001</v>
      </c>
      <c r="E336" s="4" t="s">
        <v>1884</v>
      </c>
      <c r="G336" s="4" t="s">
        <v>2002</v>
      </c>
      <c r="H336" s="4" t="s">
        <v>2003</v>
      </c>
      <c r="J336" s="4" t="s">
        <v>1189</v>
      </c>
      <c r="L336" s="4" t="s">
        <v>32</v>
      </c>
      <c r="M336" s="4" t="s">
        <v>33</v>
      </c>
      <c r="N336" s="4" t="s">
        <v>34</v>
      </c>
      <c r="O336" s="4" t="s">
        <v>239</v>
      </c>
      <c r="P336" s="4" t="s">
        <v>2004</v>
      </c>
      <c r="Q336" s="4" t="s">
        <v>2005</v>
      </c>
      <c r="R336" s="4" t="s">
        <v>1884</v>
      </c>
      <c r="S336" s="4" t="s">
        <v>1889</v>
      </c>
      <c r="T336" s="4" t="s">
        <v>1884</v>
      </c>
      <c r="U336" s="4" t="s">
        <v>1890</v>
      </c>
    </row>
    <row r="337" spans="1:21" s="4" customFormat="1" x14ac:dyDescent="0.35">
      <c r="A337" s="4" t="s">
        <v>2007</v>
      </c>
      <c r="B337" s="4" t="s">
        <v>23</v>
      </c>
      <c r="C337" s="4" t="s">
        <v>24</v>
      </c>
      <c r="D337" s="4" t="s">
        <v>2008</v>
      </c>
      <c r="E337" s="4" t="s">
        <v>1884</v>
      </c>
      <c r="H337" s="4" t="s">
        <v>2009</v>
      </c>
      <c r="J337" s="4" t="s">
        <v>238</v>
      </c>
      <c r="L337" s="4" t="s">
        <v>32</v>
      </c>
      <c r="M337" s="4" t="s">
        <v>141</v>
      </c>
      <c r="N337" s="4" t="s">
        <v>34</v>
      </c>
      <c r="O337" s="4" t="s">
        <v>239</v>
      </c>
      <c r="P337" s="4" t="s">
        <v>2011</v>
      </c>
      <c r="Q337" s="4" t="s">
        <v>2012</v>
      </c>
      <c r="R337" s="4" t="s">
        <v>1884</v>
      </c>
      <c r="S337" s="4" t="s">
        <v>1889</v>
      </c>
      <c r="T337" s="4" t="s">
        <v>1884</v>
      </c>
      <c r="U337" s="4" t="s">
        <v>1890</v>
      </c>
    </row>
    <row r="338" spans="1:21" s="4" customFormat="1" x14ac:dyDescent="0.35">
      <c r="A338" s="4" t="s">
        <v>2013</v>
      </c>
      <c r="B338" s="4" t="s">
        <v>23</v>
      </c>
      <c r="C338" s="4" t="s">
        <v>24</v>
      </c>
      <c r="D338" s="4" t="s">
        <v>2014</v>
      </c>
      <c r="E338" s="4" t="s">
        <v>1884</v>
      </c>
      <c r="H338" s="4" t="s">
        <v>2015</v>
      </c>
      <c r="J338" s="4" t="s">
        <v>247</v>
      </c>
      <c r="L338" s="4" t="s">
        <v>32</v>
      </c>
      <c r="M338" s="4" t="s">
        <v>141</v>
      </c>
      <c r="N338" s="4" t="s">
        <v>34</v>
      </c>
      <c r="O338" s="4" t="s">
        <v>239</v>
      </c>
      <c r="P338" s="4" t="s">
        <v>2016</v>
      </c>
      <c r="Q338" s="4" t="s">
        <v>2017</v>
      </c>
      <c r="R338" s="4" t="s">
        <v>1884</v>
      </c>
      <c r="S338" s="4" t="s">
        <v>1889</v>
      </c>
      <c r="T338" s="4" t="s">
        <v>1908</v>
      </c>
      <c r="U338" s="4" t="s">
        <v>1909</v>
      </c>
    </row>
    <row r="339" spans="1:21" s="4" customFormat="1" x14ac:dyDescent="0.35">
      <c r="A339" s="4" t="s">
        <v>2018</v>
      </c>
      <c r="B339" s="4" t="s">
        <v>117</v>
      </c>
      <c r="C339" s="4" t="s">
        <v>24</v>
      </c>
      <c r="D339" s="4" t="s">
        <v>2019</v>
      </c>
      <c r="E339" s="4" t="s">
        <v>1884</v>
      </c>
      <c r="H339" s="4" t="s">
        <v>2020</v>
      </c>
      <c r="J339" s="4" t="s">
        <v>2021</v>
      </c>
      <c r="K339" s="4" t="s">
        <v>2236</v>
      </c>
      <c r="L339" s="4" t="s">
        <v>32</v>
      </c>
      <c r="M339" s="4" t="s">
        <v>33</v>
      </c>
      <c r="N339" s="4" t="s">
        <v>34</v>
      </c>
      <c r="O339" s="4" t="s">
        <v>239</v>
      </c>
      <c r="P339" s="4" t="s">
        <v>2022</v>
      </c>
      <c r="Q339" s="4" t="s">
        <v>2023</v>
      </c>
      <c r="R339" s="4" t="s">
        <v>1884</v>
      </c>
      <c r="S339" s="4" t="s">
        <v>1889</v>
      </c>
      <c r="T339" s="4" t="s">
        <v>1916</v>
      </c>
      <c r="U339" s="4" t="s">
        <v>1917</v>
      </c>
    </row>
    <row r="340" spans="1:21" s="4" customFormat="1" x14ac:dyDescent="0.35">
      <c r="A340" s="4" t="s">
        <v>2024</v>
      </c>
      <c r="B340" s="4" t="s">
        <v>23</v>
      </c>
      <c r="C340" s="4" t="s">
        <v>24</v>
      </c>
      <c r="D340" s="4" t="s">
        <v>2025</v>
      </c>
      <c r="E340" s="4" t="s">
        <v>1884</v>
      </c>
      <c r="G340" s="4" t="s">
        <v>1931</v>
      </c>
      <c r="H340" s="4" t="s">
        <v>2026</v>
      </c>
      <c r="J340" s="4" t="s">
        <v>798</v>
      </c>
      <c r="K340" s="4" t="s">
        <v>2240</v>
      </c>
      <c r="L340" s="4" t="s">
        <v>32</v>
      </c>
      <c r="M340" s="4" t="s">
        <v>33</v>
      </c>
      <c r="N340" s="4" t="s">
        <v>34</v>
      </c>
      <c r="O340" s="4" t="s">
        <v>239</v>
      </c>
      <c r="P340" s="4" t="s">
        <v>2027</v>
      </c>
      <c r="Q340" s="4" t="s">
        <v>2028</v>
      </c>
      <c r="R340" s="4" t="s">
        <v>1884</v>
      </c>
      <c r="S340" s="4" t="s">
        <v>1889</v>
      </c>
      <c r="T340" s="4" t="s">
        <v>1922</v>
      </c>
      <c r="U340" s="4" t="s">
        <v>1923</v>
      </c>
    </row>
    <row r="341" spans="1:21" s="4" customFormat="1" x14ac:dyDescent="0.35">
      <c r="A341" s="4" t="s">
        <v>2029</v>
      </c>
      <c r="B341" s="4" t="s">
        <v>23</v>
      </c>
      <c r="C341" s="4" t="s">
        <v>24</v>
      </c>
      <c r="D341" s="4" t="s">
        <v>2030</v>
      </c>
      <c r="E341" s="4" t="s">
        <v>1884</v>
      </c>
      <c r="F341" s="4" t="s">
        <v>2031</v>
      </c>
      <c r="H341" s="4" t="s">
        <v>2032</v>
      </c>
      <c r="J341" s="4" t="s">
        <v>827</v>
      </c>
      <c r="L341" s="4" t="s">
        <v>32</v>
      </c>
      <c r="M341" s="4" t="s">
        <v>141</v>
      </c>
      <c r="N341" s="4" t="s">
        <v>34</v>
      </c>
      <c r="O341" s="4" t="s">
        <v>239</v>
      </c>
      <c r="P341" s="4" t="s">
        <v>2033</v>
      </c>
      <c r="Q341" s="4" t="s">
        <v>2034</v>
      </c>
      <c r="R341" s="4" t="s">
        <v>1884</v>
      </c>
      <c r="S341" s="4" t="s">
        <v>1889</v>
      </c>
      <c r="T341" s="4" t="s">
        <v>1946</v>
      </c>
      <c r="U341" s="4" t="s">
        <v>1947</v>
      </c>
    </row>
    <row r="342" spans="1:21" s="4" customFormat="1" x14ac:dyDescent="0.35">
      <c r="A342" s="4" t="s">
        <v>2035</v>
      </c>
      <c r="B342" s="4" t="s">
        <v>23</v>
      </c>
      <c r="C342" s="4" t="s">
        <v>24</v>
      </c>
      <c r="D342" s="4" t="s">
        <v>2036</v>
      </c>
      <c r="E342" s="4" t="s">
        <v>1884</v>
      </c>
      <c r="F342" s="4" t="s">
        <v>2037</v>
      </c>
      <c r="H342" s="4" t="s">
        <v>2038</v>
      </c>
      <c r="J342" s="4" t="s">
        <v>1938</v>
      </c>
      <c r="L342" s="4" t="s">
        <v>32</v>
      </c>
      <c r="M342" s="4" t="s">
        <v>141</v>
      </c>
      <c r="N342" s="4" t="s">
        <v>34</v>
      </c>
      <c r="O342" s="4" t="s">
        <v>239</v>
      </c>
      <c r="P342" s="4" t="s">
        <v>2039</v>
      </c>
      <c r="Q342" s="4" t="s">
        <v>2040</v>
      </c>
      <c r="R342" s="4" t="s">
        <v>1884</v>
      </c>
      <c r="S342" s="4" t="s">
        <v>1889</v>
      </c>
      <c r="T342" s="4" t="s">
        <v>1946</v>
      </c>
      <c r="U342" s="4" t="s">
        <v>1947</v>
      </c>
    </row>
    <row r="343" spans="1:21" s="4" customFormat="1" x14ac:dyDescent="0.35">
      <c r="A343" s="4" t="s">
        <v>2041</v>
      </c>
      <c r="B343" s="4" t="s">
        <v>23</v>
      </c>
      <c r="C343" s="4" t="s">
        <v>24</v>
      </c>
      <c r="D343" s="4" t="s">
        <v>2042</v>
      </c>
      <c r="E343" s="4" t="s">
        <v>1884</v>
      </c>
      <c r="F343" s="4" t="s">
        <v>2043</v>
      </c>
      <c r="H343" s="4" t="s">
        <v>2044</v>
      </c>
      <c r="J343" s="4" t="s">
        <v>2045</v>
      </c>
      <c r="L343" s="4" t="s">
        <v>32</v>
      </c>
      <c r="M343" s="4" t="s">
        <v>141</v>
      </c>
      <c r="N343" s="4" t="s">
        <v>34</v>
      </c>
      <c r="O343" s="4" t="s">
        <v>239</v>
      </c>
      <c r="P343" s="4" t="s">
        <v>813</v>
      </c>
      <c r="Q343" s="4" t="s">
        <v>814</v>
      </c>
      <c r="R343" s="4" t="s">
        <v>662</v>
      </c>
      <c r="S343" s="4" t="s">
        <v>667</v>
      </c>
      <c r="T343" s="4" t="s">
        <v>662</v>
      </c>
      <c r="U343" s="4" t="s">
        <v>668</v>
      </c>
    </row>
    <row r="344" spans="1:21" s="4" customFormat="1" x14ac:dyDescent="0.35">
      <c r="A344" s="4" t="s">
        <v>2052</v>
      </c>
      <c r="B344" s="4" t="s">
        <v>23</v>
      </c>
      <c r="C344" s="4" t="s">
        <v>24</v>
      </c>
      <c r="D344" s="4" t="s">
        <v>2046</v>
      </c>
      <c r="E344" s="4" t="s">
        <v>1884</v>
      </c>
      <c r="F344" s="4" t="s">
        <v>2047</v>
      </c>
      <c r="H344" s="4" t="s">
        <v>2048</v>
      </c>
      <c r="J344" s="4" t="s">
        <v>2049</v>
      </c>
      <c r="K344" s="4" t="s">
        <v>2240</v>
      </c>
      <c r="L344" s="4" t="s">
        <v>32</v>
      </c>
      <c r="M344" s="4" t="s">
        <v>33</v>
      </c>
      <c r="N344" s="4" t="s">
        <v>34</v>
      </c>
      <c r="O344" s="4" t="s">
        <v>239</v>
      </c>
      <c r="P344" s="4" t="s">
        <v>2050</v>
      </c>
      <c r="Q344" s="4" t="s">
        <v>2051</v>
      </c>
      <c r="R344" s="4" t="s">
        <v>1884</v>
      </c>
      <c r="S344" s="4" t="s">
        <v>1889</v>
      </c>
      <c r="T344" s="4" t="s">
        <v>1922</v>
      </c>
      <c r="U344" s="4" t="s">
        <v>1923</v>
      </c>
    </row>
    <row r="345" spans="1:21" s="4" customFormat="1" x14ac:dyDescent="0.35">
      <c r="A345" s="4" t="s">
        <v>2060</v>
      </c>
      <c r="B345" s="4" t="s">
        <v>23</v>
      </c>
      <c r="C345" s="4" t="s">
        <v>24</v>
      </c>
      <c r="D345" s="4" t="s">
        <v>2053</v>
      </c>
      <c r="E345" s="4" t="s">
        <v>1884</v>
      </c>
      <c r="F345" s="4" t="s">
        <v>2054</v>
      </c>
      <c r="G345" s="4" t="s">
        <v>2055</v>
      </c>
      <c r="H345" s="4" t="s">
        <v>2056</v>
      </c>
      <c r="J345" s="4" t="s">
        <v>2057</v>
      </c>
      <c r="K345" s="4" t="s">
        <v>2240</v>
      </c>
      <c r="L345" s="4" t="s">
        <v>32</v>
      </c>
      <c r="M345" s="4" t="s">
        <v>33</v>
      </c>
      <c r="N345" s="4" t="s">
        <v>34</v>
      </c>
      <c r="O345" s="4" t="s">
        <v>239</v>
      </c>
      <c r="P345" s="4" t="s">
        <v>2058</v>
      </c>
      <c r="Q345" s="4" t="s">
        <v>2059</v>
      </c>
      <c r="R345" s="4" t="s">
        <v>1884</v>
      </c>
      <c r="S345" s="4" t="s">
        <v>1889</v>
      </c>
      <c r="T345" s="4" t="s">
        <v>1922</v>
      </c>
      <c r="U345" s="4" t="s">
        <v>1923</v>
      </c>
    </row>
    <row r="346" spans="1:21" s="4" customFormat="1" x14ac:dyDescent="0.35">
      <c r="A346" s="4" t="s">
        <v>2061</v>
      </c>
      <c r="B346" s="4" t="s">
        <v>117</v>
      </c>
      <c r="C346" s="4" t="s">
        <v>2062</v>
      </c>
      <c r="D346" s="4" t="s">
        <v>2063</v>
      </c>
      <c r="E346" s="4" t="s">
        <v>1884</v>
      </c>
      <c r="G346" s="4" t="s">
        <v>2064</v>
      </c>
      <c r="H346" s="4" t="s">
        <v>2065</v>
      </c>
      <c r="J346" s="4" t="s">
        <v>1673</v>
      </c>
      <c r="K346" s="4" t="s">
        <v>2240</v>
      </c>
      <c r="L346" s="4" t="s">
        <v>32</v>
      </c>
      <c r="M346" s="4" t="s">
        <v>33</v>
      </c>
      <c r="N346" s="4" t="s">
        <v>34</v>
      </c>
      <c r="O346" s="4" t="s">
        <v>239</v>
      </c>
      <c r="P346" s="4" t="s">
        <v>2066</v>
      </c>
      <c r="Q346" s="4" t="s">
        <v>2067</v>
      </c>
      <c r="R346" s="4" t="s">
        <v>1884</v>
      </c>
      <c r="S346" s="4" t="s">
        <v>1889</v>
      </c>
      <c r="T346" s="4" t="s">
        <v>1922</v>
      </c>
      <c r="U346" s="4" t="s">
        <v>1923</v>
      </c>
    </row>
    <row r="347" spans="1:21" s="4" customFormat="1" x14ac:dyDescent="0.35">
      <c r="A347" s="4" t="s">
        <v>2068</v>
      </c>
      <c r="B347" s="4" t="s">
        <v>23</v>
      </c>
      <c r="C347" s="4" t="s">
        <v>2069</v>
      </c>
      <c r="D347" s="4" t="s">
        <v>2070</v>
      </c>
      <c r="E347" s="4" t="s">
        <v>1884</v>
      </c>
      <c r="J347" s="4" t="s">
        <v>916</v>
      </c>
      <c r="K347" s="4" t="s">
        <v>2247</v>
      </c>
      <c r="L347" s="4" t="s">
        <v>32</v>
      </c>
      <c r="M347" s="4" t="s">
        <v>33</v>
      </c>
      <c r="N347" s="4" t="s">
        <v>34</v>
      </c>
      <c r="O347" s="4" t="s">
        <v>239</v>
      </c>
      <c r="P347" s="4" t="s">
        <v>2071</v>
      </c>
      <c r="Q347" s="4" t="s">
        <v>2072</v>
      </c>
      <c r="R347" s="4" t="s">
        <v>1884</v>
      </c>
      <c r="S347" s="4" t="s">
        <v>1889</v>
      </c>
      <c r="T347" s="4" t="s">
        <v>1884</v>
      </c>
      <c r="U347" s="4" t="s">
        <v>1890</v>
      </c>
    </row>
    <row r="348" spans="1:21" s="4" customFormat="1" x14ac:dyDescent="0.35">
      <c r="A348" s="4" t="s">
        <v>2073</v>
      </c>
      <c r="B348" s="4" t="s">
        <v>23</v>
      </c>
      <c r="C348" s="4" t="s">
        <v>2074</v>
      </c>
      <c r="D348" s="4" t="s">
        <v>2075</v>
      </c>
      <c r="E348" s="4" t="s">
        <v>1884</v>
      </c>
      <c r="J348" s="4" t="s">
        <v>916</v>
      </c>
      <c r="K348" s="4" t="s">
        <v>2247</v>
      </c>
      <c r="L348" s="4" t="s">
        <v>32</v>
      </c>
      <c r="M348" s="4" t="s">
        <v>33</v>
      </c>
      <c r="N348" s="4" t="s">
        <v>34</v>
      </c>
      <c r="O348" s="4" t="s">
        <v>239</v>
      </c>
      <c r="P348" s="4" t="s">
        <v>2076</v>
      </c>
      <c r="Q348" s="4" t="s">
        <v>2077</v>
      </c>
      <c r="R348" s="4" t="s">
        <v>26</v>
      </c>
      <c r="S348" s="4" t="s">
        <v>38</v>
      </c>
      <c r="T348" s="4" t="s">
        <v>26</v>
      </c>
      <c r="U348" s="4" t="s">
        <v>39</v>
      </c>
    </row>
    <row r="349" spans="1:21" s="4" customFormat="1" x14ac:dyDescent="0.35">
      <c r="A349" s="4" t="s">
        <v>2083</v>
      </c>
      <c r="B349" s="4" t="s">
        <v>117</v>
      </c>
      <c r="C349" s="4" t="s">
        <v>2078</v>
      </c>
      <c r="D349" s="4" t="s">
        <v>2079</v>
      </c>
      <c r="E349" s="4" t="s">
        <v>1884</v>
      </c>
      <c r="J349" s="4" t="s">
        <v>2080</v>
      </c>
      <c r="K349" s="4" t="s">
        <v>2246</v>
      </c>
      <c r="L349" s="4" t="s">
        <v>58</v>
      </c>
      <c r="M349" s="4" t="s">
        <v>141</v>
      </c>
      <c r="N349" s="4" t="s">
        <v>34</v>
      </c>
      <c r="O349" s="4" t="s">
        <v>239</v>
      </c>
      <c r="P349" s="4" t="s">
        <v>2081</v>
      </c>
      <c r="Q349" s="4" t="s">
        <v>2082</v>
      </c>
      <c r="R349" s="4" t="s">
        <v>1884</v>
      </c>
      <c r="S349" s="4" t="s">
        <v>1889</v>
      </c>
      <c r="T349" s="4" t="s">
        <v>1884</v>
      </c>
      <c r="U349" s="4" t="s">
        <v>1890</v>
      </c>
    </row>
    <row r="350" spans="1:21" s="4" customFormat="1" x14ac:dyDescent="0.35">
      <c r="A350" s="4" t="s">
        <v>2084</v>
      </c>
      <c r="B350" s="4" t="s">
        <v>23</v>
      </c>
      <c r="C350" s="4" t="s">
        <v>2078</v>
      </c>
      <c r="D350" s="4" t="s">
        <v>2085</v>
      </c>
      <c r="E350" s="4" t="s">
        <v>1884</v>
      </c>
      <c r="H350" s="4" t="s">
        <v>2086</v>
      </c>
      <c r="J350" s="4" t="s">
        <v>1247</v>
      </c>
      <c r="K350" s="4" t="s">
        <v>2243</v>
      </c>
      <c r="L350" s="4" t="s">
        <v>32</v>
      </c>
      <c r="M350" s="4" t="s">
        <v>141</v>
      </c>
      <c r="N350" s="4" t="s">
        <v>34</v>
      </c>
      <c r="O350" s="4" t="s">
        <v>239</v>
      </c>
      <c r="P350" s="4" t="s">
        <v>2087</v>
      </c>
      <c r="Q350" s="4" t="s">
        <v>2088</v>
      </c>
      <c r="R350" s="4" t="s">
        <v>1884</v>
      </c>
      <c r="S350" s="4" t="s">
        <v>1889</v>
      </c>
      <c r="T350" s="4" t="s">
        <v>1908</v>
      </c>
      <c r="U350" s="4" t="s">
        <v>1909</v>
      </c>
    </row>
    <row r="351" spans="1:21" s="4" customFormat="1" x14ac:dyDescent="0.35">
      <c r="A351" s="4" t="s">
        <v>2089</v>
      </c>
      <c r="B351" s="4" t="s">
        <v>117</v>
      </c>
      <c r="C351" s="4" t="s">
        <v>152</v>
      </c>
      <c r="D351" s="4" t="s">
        <v>1961</v>
      </c>
      <c r="E351" s="4" t="s">
        <v>1884</v>
      </c>
      <c r="H351" s="4" t="s">
        <v>2090</v>
      </c>
      <c r="J351" s="4" t="s">
        <v>2091</v>
      </c>
      <c r="K351" s="4" t="s">
        <v>31</v>
      </c>
      <c r="L351" s="4" t="s">
        <v>32</v>
      </c>
      <c r="M351" s="4" t="s">
        <v>33</v>
      </c>
      <c r="N351" s="4" t="s">
        <v>34</v>
      </c>
      <c r="O351" s="4" t="s">
        <v>239</v>
      </c>
      <c r="P351" s="4" t="s">
        <v>2092</v>
      </c>
      <c r="Q351" s="4" t="s">
        <v>2093</v>
      </c>
      <c r="R351" s="4" t="s">
        <v>1884</v>
      </c>
      <c r="S351" s="4" t="s">
        <v>1889</v>
      </c>
      <c r="T351" s="4" t="s">
        <v>1884</v>
      </c>
      <c r="U351" s="4" t="s">
        <v>1890</v>
      </c>
    </row>
    <row r="352" spans="1:21" s="4" customFormat="1" x14ac:dyDescent="0.35">
      <c r="A352" s="4" t="s">
        <v>2094</v>
      </c>
      <c r="B352" s="4" t="s">
        <v>117</v>
      </c>
      <c r="C352" s="4" t="s">
        <v>63</v>
      </c>
      <c r="D352" s="4" t="s">
        <v>2095</v>
      </c>
      <c r="E352" s="4" t="s">
        <v>1884</v>
      </c>
      <c r="H352" s="4" t="s">
        <v>2096</v>
      </c>
      <c r="J352" s="4" t="s">
        <v>2097</v>
      </c>
      <c r="K352" s="4" t="s">
        <v>31</v>
      </c>
      <c r="L352" s="4" t="s">
        <v>32</v>
      </c>
      <c r="M352" s="4" t="s">
        <v>33</v>
      </c>
      <c r="N352" s="4" t="s">
        <v>34</v>
      </c>
      <c r="O352" s="4" t="s">
        <v>239</v>
      </c>
      <c r="P352" s="4" t="s">
        <v>2098</v>
      </c>
      <c r="Q352" s="4" t="s">
        <v>2099</v>
      </c>
      <c r="R352" s="4" t="s">
        <v>1884</v>
      </c>
      <c r="S352" s="4" t="s">
        <v>1889</v>
      </c>
      <c r="T352" s="4" t="s">
        <v>1884</v>
      </c>
      <c r="U352" s="4" t="s">
        <v>1890</v>
      </c>
    </row>
    <row r="353" spans="1:21" s="4" customFormat="1" x14ac:dyDescent="0.35">
      <c r="A353" s="4" t="s">
        <v>2100</v>
      </c>
      <c r="B353" s="4" t="s">
        <v>117</v>
      </c>
      <c r="C353" s="4" t="s">
        <v>63</v>
      </c>
      <c r="D353" s="4" t="s">
        <v>2101</v>
      </c>
      <c r="E353" s="4" t="s">
        <v>1884</v>
      </c>
      <c r="H353" s="4" t="s">
        <v>2102</v>
      </c>
      <c r="J353" s="4" t="s">
        <v>2097</v>
      </c>
      <c r="K353" s="4" t="s">
        <v>31</v>
      </c>
      <c r="L353" s="4" t="s">
        <v>32</v>
      </c>
      <c r="M353" s="4" t="s">
        <v>33</v>
      </c>
      <c r="N353" s="4" t="s">
        <v>34</v>
      </c>
      <c r="O353" s="4" t="s">
        <v>239</v>
      </c>
      <c r="P353" s="4" t="s">
        <v>2103</v>
      </c>
      <c r="Q353" s="4" t="s">
        <v>2104</v>
      </c>
      <c r="R353" s="4" t="s">
        <v>1884</v>
      </c>
      <c r="S353" s="4" t="s">
        <v>1889</v>
      </c>
      <c r="T353" s="4" t="s">
        <v>1884</v>
      </c>
      <c r="U353" s="4" t="s">
        <v>1890</v>
      </c>
    </row>
    <row r="354" spans="1:21" s="4" customFormat="1" x14ac:dyDescent="0.35">
      <c r="A354" s="4" t="s">
        <v>2105</v>
      </c>
      <c r="B354" s="4" t="s">
        <v>23</v>
      </c>
      <c r="C354" s="4" t="s">
        <v>24</v>
      </c>
      <c r="D354" s="4" t="s">
        <v>2106</v>
      </c>
      <c r="E354" s="4" t="s">
        <v>2107</v>
      </c>
      <c r="F354" s="4" t="s">
        <v>2108</v>
      </c>
      <c r="G354" s="4" t="s">
        <v>2109</v>
      </c>
      <c r="H354" s="4" t="s">
        <v>2110</v>
      </c>
      <c r="J354" s="4" t="s">
        <v>157</v>
      </c>
      <c r="K354" s="4" t="s">
        <v>2228</v>
      </c>
      <c r="L354" s="4" t="s">
        <v>32</v>
      </c>
      <c r="M354" s="4" t="s">
        <v>33</v>
      </c>
      <c r="N354" s="4" t="s">
        <v>34</v>
      </c>
      <c r="O354" s="4" t="s">
        <v>35</v>
      </c>
      <c r="P354" s="4" t="s">
        <v>2111</v>
      </c>
      <c r="Q354" s="4" t="s">
        <v>2112</v>
      </c>
      <c r="R354" s="4" t="s">
        <v>2107</v>
      </c>
      <c r="S354" s="4" t="s">
        <v>2113</v>
      </c>
      <c r="T354" s="4" t="s">
        <v>2107</v>
      </c>
      <c r="U354" s="4" t="s">
        <v>2114</v>
      </c>
    </row>
    <row r="355" spans="1:21" s="4" customFormat="1" x14ac:dyDescent="0.35">
      <c r="A355" s="4" t="s">
        <v>2115</v>
      </c>
      <c r="B355" s="4" t="s">
        <v>62</v>
      </c>
      <c r="C355" s="4" t="s">
        <v>63</v>
      </c>
      <c r="D355" s="4" t="s">
        <v>2106</v>
      </c>
      <c r="E355" s="4" t="s">
        <v>2107</v>
      </c>
      <c r="F355" s="4" t="s">
        <v>2108</v>
      </c>
      <c r="G355" s="4" t="s">
        <v>2116</v>
      </c>
      <c r="H355" s="4" t="s">
        <v>2117</v>
      </c>
      <c r="J355" s="4" t="s">
        <v>157</v>
      </c>
      <c r="K355" s="4" t="s">
        <v>2228</v>
      </c>
      <c r="L355" s="4" t="s">
        <v>65</v>
      </c>
      <c r="M355" s="4" t="s">
        <v>33</v>
      </c>
      <c r="N355" s="4" t="s">
        <v>34</v>
      </c>
      <c r="O355" s="4" t="s">
        <v>35</v>
      </c>
      <c r="P355" s="4" t="s">
        <v>2111</v>
      </c>
      <c r="Q355" s="4" t="s">
        <v>2112</v>
      </c>
      <c r="R355" s="4" t="s">
        <v>2107</v>
      </c>
      <c r="S355" s="4" t="s">
        <v>2113</v>
      </c>
      <c r="T355" s="4" t="s">
        <v>2107</v>
      </c>
      <c r="U355" s="4" t="s">
        <v>2114</v>
      </c>
    </row>
    <row r="356" spans="1:21" s="4" customFormat="1" x14ac:dyDescent="0.35">
      <c r="A356" s="4" t="s">
        <v>2126</v>
      </c>
      <c r="B356" s="4" t="s">
        <v>62</v>
      </c>
      <c r="C356" s="4" t="s">
        <v>24</v>
      </c>
      <c r="D356" s="4" t="s">
        <v>2118</v>
      </c>
      <c r="E356" s="4" t="s">
        <v>2107</v>
      </c>
      <c r="F356" s="4" t="s">
        <v>2119</v>
      </c>
      <c r="G356" s="4" t="s">
        <v>2120</v>
      </c>
      <c r="H356" s="4" t="s">
        <v>2121</v>
      </c>
      <c r="J356" s="4" t="s">
        <v>157</v>
      </c>
      <c r="K356" s="4" t="s">
        <v>2228</v>
      </c>
      <c r="L356" s="4" t="s">
        <v>65</v>
      </c>
      <c r="M356" s="4" t="s">
        <v>33</v>
      </c>
      <c r="N356" s="4" t="s">
        <v>34</v>
      </c>
      <c r="O356" s="4" t="s">
        <v>35</v>
      </c>
      <c r="P356" s="4" t="s">
        <v>2122</v>
      </c>
      <c r="Q356" s="4" t="s">
        <v>2123</v>
      </c>
      <c r="R356" s="4" t="s">
        <v>2107</v>
      </c>
      <c r="S356" s="4" t="s">
        <v>2113</v>
      </c>
      <c r="T356" s="4" t="s">
        <v>2124</v>
      </c>
      <c r="U356" s="4" t="s">
        <v>2125</v>
      </c>
    </row>
    <row r="357" spans="1:21" s="4" customFormat="1" x14ac:dyDescent="0.35">
      <c r="A357" s="4" t="s">
        <v>2127</v>
      </c>
      <c r="B357" s="4" t="s">
        <v>23</v>
      </c>
      <c r="C357" s="4" t="s">
        <v>1235</v>
      </c>
      <c r="D357" s="4" t="s">
        <v>2128</v>
      </c>
      <c r="E357" s="4" t="s">
        <v>2107</v>
      </c>
      <c r="F357" s="4" t="s">
        <v>2129</v>
      </c>
      <c r="G357" s="4" t="s">
        <v>2130</v>
      </c>
      <c r="H357" s="4" t="s">
        <v>2131</v>
      </c>
      <c r="J357" s="4" t="s">
        <v>157</v>
      </c>
      <c r="K357" s="4" t="s">
        <v>2228</v>
      </c>
      <c r="L357" s="4" t="s">
        <v>32</v>
      </c>
      <c r="M357" s="4" t="s">
        <v>33</v>
      </c>
      <c r="N357" s="4" t="s">
        <v>34</v>
      </c>
      <c r="O357" s="4" t="s">
        <v>35</v>
      </c>
      <c r="P357" s="4" t="s">
        <v>2132</v>
      </c>
      <c r="Q357" s="4" t="s">
        <v>2133</v>
      </c>
      <c r="R357" s="4" t="s">
        <v>26</v>
      </c>
      <c r="S357" s="4" t="s">
        <v>38</v>
      </c>
      <c r="T357" s="4" t="s">
        <v>2134</v>
      </c>
      <c r="U357" s="4" t="s">
        <v>2135</v>
      </c>
    </row>
    <row r="358" spans="1:21" s="4" customFormat="1" x14ac:dyDescent="0.35">
      <c r="A358" s="4" t="s">
        <v>2136</v>
      </c>
      <c r="B358" s="4" t="s">
        <v>62</v>
      </c>
      <c r="C358" s="4" t="s">
        <v>24</v>
      </c>
      <c r="D358" s="4" t="s">
        <v>2137</v>
      </c>
      <c r="E358" s="4" t="s">
        <v>2107</v>
      </c>
      <c r="F358" s="4" t="s">
        <v>2129</v>
      </c>
      <c r="G358" s="4" t="s">
        <v>2138</v>
      </c>
      <c r="H358" s="4" t="s">
        <v>2139</v>
      </c>
      <c r="J358" s="4" t="s">
        <v>157</v>
      </c>
      <c r="K358" s="4" t="s">
        <v>2228</v>
      </c>
      <c r="L358" s="4" t="s">
        <v>65</v>
      </c>
      <c r="M358" s="4" t="s">
        <v>33</v>
      </c>
      <c r="N358" s="4" t="s">
        <v>34</v>
      </c>
      <c r="O358" s="4" t="s">
        <v>35</v>
      </c>
      <c r="P358" s="4" t="s">
        <v>2132</v>
      </c>
      <c r="Q358" s="4" t="s">
        <v>2133</v>
      </c>
      <c r="R358" s="4" t="s">
        <v>26</v>
      </c>
      <c r="S358" s="4" t="s">
        <v>38</v>
      </c>
      <c r="T358" s="4" t="s">
        <v>2134</v>
      </c>
      <c r="U358" s="4" t="s">
        <v>2135</v>
      </c>
    </row>
    <row r="359" spans="1:21" s="4" customFormat="1" x14ac:dyDescent="0.35">
      <c r="A359" s="4" t="s">
        <v>2140</v>
      </c>
      <c r="B359" s="4" t="s">
        <v>23</v>
      </c>
      <c r="C359" s="4" t="s">
        <v>24</v>
      </c>
      <c r="D359" s="4" t="s">
        <v>2141</v>
      </c>
      <c r="E359" s="4" t="s">
        <v>2107</v>
      </c>
      <c r="F359" s="4" t="s">
        <v>2142</v>
      </c>
      <c r="G359" s="4" t="s">
        <v>2143</v>
      </c>
      <c r="H359" s="4" t="s">
        <v>2144</v>
      </c>
      <c r="J359" s="4" t="s">
        <v>1938</v>
      </c>
      <c r="L359" s="4" t="s">
        <v>32</v>
      </c>
      <c r="M359" s="4" t="s">
        <v>141</v>
      </c>
      <c r="N359" s="4" t="s">
        <v>34</v>
      </c>
      <c r="O359" s="4" t="s">
        <v>239</v>
      </c>
      <c r="P359" s="4" t="s">
        <v>2145</v>
      </c>
      <c r="Q359" s="4" t="s">
        <v>2146</v>
      </c>
      <c r="R359" s="4" t="s">
        <v>2107</v>
      </c>
      <c r="S359" s="4" t="s">
        <v>2113</v>
      </c>
      <c r="T359" s="4" t="s">
        <v>2107</v>
      </c>
      <c r="U359" s="4" t="s">
        <v>2114</v>
      </c>
    </row>
    <row r="360" spans="1:21" s="4" customFormat="1" x14ac:dyDescent="0.35">
      <c r="A360" s="4" t="s">
        <v>2147</v>
      </c>
      <c r="B360" s="4" t="s">
        <v>23</v>
      </c>
      <c r="C360" s="4" t="s">
        <v>24</v>
      </c>
      <c r="D360" s="4" t="s">
        <v>2148</v>
      </c>
      <c r="E360" s="4" t="s">
        <v>2107</v>
      </c>
      <c r="H360" s="4" t="s">
        <v>2149</v>
      </c>
      <c r="J360" s="4" t="s">
        <v>1938</v>
      </c>
      <c r="L360" s="4" t="s">
        <v>32</v>
      </c>
      <c r="M360" s="4" t="s">
        <v>141</v>
      </c>
      <c r="N360" s="4" t="s">
        <v>34</v>
      </c>
      <c r="O360" s="4" t="s">
        <v>239</v>
      </c>
      <c r="P360" s="4" t="s">
        <v>2150</v>
      </c>
      <c r="Q360" s="4" t="s">
        <v>2151</v>
      </c>
      <c r="R360" s="4" t="s">
        <v>2107</v>
      </c>
      <c r="S360" s="4" t="s">
        <v>2113</v>
      </c>
      <c r="T360" s="4" t="s">
        <v>2107</v>
      </c>
      <c r="U360" s="4" t="s">
        <v>2114</v>
      </c>
    </row>
    <row r="361" spans="1:21" s="4" customFormat="1" x14ac:dyDescent="0.35">
      <c r="A361" s="4" t="s">
        <v>2152</v>
      </c>
      <c r="B361" s="4" t="s">
        <v>23</v>
      </c>
      <c r="C361" s="4" t="s">
        <v>24</v>
      </c>
      <c r="D361" s="4" t="s">
        <v>2153</v>
      </c>
      <c r="E361" s="4" t="s">
        <v>2107</v>
      </c>
      <c r="G361" s="4" t="s">
        <v>2154</v>
      </c>
      <c r="H361" s="4" t="s">
        <v>2155</v>
      </c>
      <c r="J361" s="4" t="s">
        <v>1189</v>
      </c>
      <c r="K361" s="4" t="s">
        <v>2236</v>
      </c>
      <c r="L361" s="4" t="s">
        <v>32</v>
      </c>
      <c r="M361" s="4" t="s">
        <v>33</v>
      </c>
      <c r="N361" s="4" t="s">
        <v>34</v>
      </c>
      <c r="O361" s="4" t="s">
        <v>239</v>
      </c>
      <c r="P361" s="4" t="s">
        <v>2156</v>
      </c>
      <c r="Q361" s="4" t="s">
        <v>2157</v>
      </c>
      <c r="R361" s="4" t="s">
        <v>2107</v>
      </c>
      <c r="S361" s="4" t="s">
        <v>2113</v>
      </c>
      <c r="T361" s="4" t="s">
        <v>2107</v>
      </c>
      <c r="U361" s="4" t="s">
        <v>2114</v>
      </c>
    </row>
    <row r="362" spans="1:21" s="4" customFormat="1" x14ac:dyDescent="0.35">
      <c r="A362" s="4" t="s">
        <v>2165</v>
      </c>
      <c r="B362" s="4" t="s">
        <v>117</v>
      </c>
      <c r="C362" s="4" t="s">
        <v>260</v>
      </c>
      <c r="D362" s="4" t="s">
        <v>2158</v>
      </c>
      <c r="E362" s="4" t="s">
        <v>2107</v>
      </c>
      <c r="F362" s="4" t="s">
        <v>2159</v>
      </c>
      <c r="G362" s="4" t="s">
        <v>2160</v>
      </c>
      <c r="H362" s="4" t="s">
        <v>2161</v>
      </c>
      <c r="J362" s="4" t="s">
        <v>2162</v>
      </c>
      <c r="K362" s="4" t="s">
        <v>2236</v>
      </c>
      <c r="L362" s="4" t="s">
        <v>32</v>
      </c>
      <c r="M362" s="4" t="s">
        <v>33</v>
      </c>
      <c r="N362" s="4" t="s">
        <v>34</v>
      </c>
      <c r="O362" s="4" t="s">
        <v>239</v>
      </c>
      <c r="P362" s="4" t="s">
        <v>2163</v>
      </c>
      <c r="Q362" s="4" t="s">
        <v>2164</v>
      </c>
      <c r="R362" s="4" t="s">
        <v>2107</v>
      </c>
      <c r="S362" s="4" t="s">
        <v>2113</v>
      </c>
      <c r="T362" s="4" t="s">
        <v>2107</v>
      </c>
      <c r="U362" s="4" t="s">
        <v>2114</v>
      </c>
    </row>
    <row r="363" spans="1:21" s="4" customFormat="1" x14ac:dyDescent="0.35">
      <c r="A363" s="4" t="s">
        <v>2172</v>
      </c>
      <c r="B363" s="4" t="s">
        <v>117</v>
      </c>
      <c r="C363" s="4" t="s">
        <v>24</v>
      </c>
      <c r="D363" s="4" t="s">
        <v>2166</v>
      </c>
      <c r="E363" s="4" t="s">
        <v>2107</v>
      </c>
      <c r="F363" s="4" t="s">
        <v>2167</v>
      </c>
      <c r="H363" s="4" t="s">
        <v>2168</v>
      </c>
      <c r="J363" s="4" t="s">
        <v>2169</v>
      </c>
      <c r="K363" s="4" t="s">
        <v>2236</v>
      </c>
      <c r="L363" s="4" t="s">
        <v>32</v>
      </c>
      <c r="M363" s="4" t="s">
        <v>33</v>
      </c>
      <c r="N363" s="4" t="s">
        <v>34</v>
      </c>
      <c r="O363" s="4" t="s">
        <v>239</v>
      </c>
      <c r="P363" s="4" t="s">
        <v>2170</v>
      </c>
      <c r="Q363" s="4" t="s">
        <v>2171</v>
      </c>
      <c r="R363" s="4" t="s">
        <v>26</v>
      </c>
      <c r="S363" s="4" t="s">
        <v>38</v>
      </c>
      <c r="T363" s="4" t="s">
        <v>26</v>
      </c>
      <c r="U363" s="4" t="s">
        <v>39</v>
      </c>
    </row>
    <row r="364" spans="1:21" s="4" customFormat="1" x14ac:dyDescent="0.35">
      <c r="A364" s="4" t="s">
        <v>2179</v>
      </c>
      <c r="B364" s="4" t="s">
        <v>117</v>
      </c>
      <c r="C364" s="4" t="s">
        <v>24</v>
      </c>
      <c r="D364" s="4" t="s">
        <v>2173</v>
      </c>
      <c r="E364" s="4" t="s">
        <v>2107</v>
      </c>
      <c r="H364" s="4" t="s">
        <v>2174</v>
      </c>
      <c r="J364" s="4" t="s">
        <v>1527</v>
      </c>
      <c r="K364" s="4" t="s">
        <v>2236</v>
      </c>
      <c r="L364" s="4" t="s">
        <v>32</v>
      </c>
      <c r="M364" s="4" t="s">
        <v>33</v>
      </c>
      <c r="N364" s="4" t="s">
        <v>34</v>
      </c>
      <c r="O364" s="4" t="s">
        <v>239</v>
      </c>
      <c r="P364" s="4" t="s">
        <v>2175</v>
      </c>
      <c r="Q364" s="4" t="s">
        <v>2176</v>
      </c>
      <c r="R364" s="4" t="s">
        <v>2107</v>
      </c>
      <c r="S364" s="4" t="s">
        <v>2113</v>
      </c>
      <c r="T364" s="4" t="s">
        <v>2177</v>
      </c>
      <c r="U364" s="4" t="s">
        <v>2178</v>
      </c>
    </row>
    <row r="365" spans="1:21" s="4" customFormat="1" x14ac:dyDescent="0.35">
      <c r="A365" s="4" t="s">
        <v>2180</v>
      </c>
      <c r="B365" s="4" t="s">
        <v>23</v>
      </c>
      <c r="C365" s="4" t="s">
        <v>24</v>
      </c>
      <c r="D365" s="4" t="s">
        <v>2181</v>
      </c>
      <c r="E365" s="4" t="s">
        <v>2107</v>
      </c>
      <c r="H365" s="4" t="s">
        <v>2182</v>
      </c>
      <c r="J365" s="4" t="s">
        <v>775</v>
      </c>
      <c r="K365" s="4" t="s">
        <v>2241</v>
      </c>
      <c r="L365" s="4" t="s">
        <v>58</v>
      </c>
      <c r="M365" s="4" t="s">
        <v>33</v>
      </c>
      <c r="N365" s="4" t="s">
        <v>34</v>
      </c>
      <c r="O365" s="4" t="s">
        <v>239</v>
      </c>
      <c r="P365" s="4" t="s">
        <v>2183</v>
      </c>
      <c r="Q365" s="4" t="s">
        <v>2184</v>
      </c>
      <c r="R365" s="4" t="s">
        <v>2107</v>
      </c>
      <c r="S365" s="4" t="s">
        <v>2113</v>
      </c>
      <c r="T365" s="4" t="s">
        <v>2107</v>
      </c>
      <c r="U365" s="4" t="s">
        <v>2114</v>
      </c>
    </row>
    <row r="366" spans="1:21" s="4" customFormat="1" x14ac:dyDescent="0.35">
      <c r="A366" s="4" t="s">
        <v>2185</v>
      </c>
      <c r="B366" s="4" t="s">
        <v>23</v>
      </c>
      <c r="C366" s="4" t="s">
        <v>24</v>
      </c>
      <c r="D366" s="4" t="s">
        <v>2186</v>
      </c>
      <c r="E366" s="4" t="s">
        <v>2107</v>
      </c>
      <c r="H366" s="4" t="s">
        <v>2187</v>
      </c>
      <c r="J366" s="4" t="s">
        <v>927</v>
      </c>
      <c r="K366" s="4" t="s">
        <v>2241</v>
      </c>
      <c r="L366" s="4" t="s">
        <v>32</v>
      </c>
      <c r="M366" s="4" t="s">
        <v>33</v>
      </c>
      <c r="N366" s="4" t="s">
        <v>34</v>
      </c>
      <c r="O366" s="4" t="s">
        <v>239</v>
      </c>
      <c r="P366" s="4" t="s">
        <v>2188</v>
      </c>
      <c r="Q366" s="4" t="s">
        <v>2189</v>
      </c>
      <c r="R366" s="4" t="s">
        <v>1884</v>
      </c>
      <c r="S366" s="4" t="s">
        <v>1889</v>
      </c>
      <c r="T366" s="4" t="s">
        <v>1922</v>
      </c>
      <c r="U366" s="4" t="s">
        <v>1923</v>
      </c>
    </row>
    <row r="367" spans="1:21" s="4" customFormat="1" x14ac:dyDescent="0.35">
      <c r="A367" s="4" t="s">
        <v>2195</v>
      </c>
      <c r="B367" s="4" t="s">
        <v>23</v>
      </c>
      <c r="C367" s="4" t="s">
        <v>63</v>
      </c>
      <c r="D367" s="4" t="s">
        <v>2190</v>
      </c>
      <c r="E367" s="4" t="s">
        <v>2107</v>
      </c>
      <c r="H367" s="4" t="s">
        <v>2191</v>
      </c>
      <c r="J367" s="4" t="s">
        <v>2192</v>
      </c>
      <c r="K367" s="4" t="s">
        <v>2240</v>
      </c>
      <c r="L367" s="4" t="s">
        <v>32</v>
      </c>
      <c r="M367" s="4" t="s">
        <v>33</v>
      </c>
      <c r="N367" s="4" t="s">
        <v>34</v>
      </c>
      <c r="O367" s="4" t="s">
        <v>239</v>
      </c>
      <c r="P367" s="4" t="s">
        <v>2193</v>
      </c>
      <c r="Q367" s="4" t="s">
        <v>2194</v>
      </c>
      <c r="R367" s="4" t="s">
        <v>2107</v>
      </c>
      <c r="S367" s="4" t="s">
        <v>2113</v>
      </c>
      <c r="T367" s="4" t="s">
        <v>2107</v>
      </c>
      <c r="U367" s="4" t="s">
        <v>2114</v>
      </c>
    </row>
    <row r="368" spans="1:21" s="4" customFormat="1" x14ac:dyDescent="0.35">
      <c r="A368" s="4" t="s">
        <v>2196</v>
      </c>
      <c r="B368" s="4" t="s">
        <v>117</v>
      </c>
      <c r="C368" s="4" t="s">
        <v>2197</v>
      </c>
      <c r="D368" s="4" t="s">
        <v>2198</v>
      </c>
      <c r="E368" s="4" t="s">
        <v>2107</v>
      </c>
      <c r="H368" s="4" t="s">
        <v>2199</v>
      </c>
      <c r="J368" s="4" t="s">
        <v>916</v>
      </c>
      <c r="K368" s="4" t="s">
        <v>31</v>
      </c>
      <c r="L368" s="4" t="s">
        <v>32</v>
      </c>
      <c r="M368" s="4" t="s">
        <v>33</v>
      </c>
      <c r="N368" s="4" t="s">
        <v>34</v>
      </c>
      <c r="O368" s="4" t="s">
        <v>239</v>
      </c>
      <c r="P368" s="4" t="s">
        <v>2200</v>
      </c>
      <c r="Q368" s="4" t="s">
        <v>2201</v>
      </c>
      <c r="R368" s="4" t="s">
        <v>2107</v>
      </c>
      <c r="S368" s="4" t="s">
        <v>2113</v>
      </c>
      <c r="T368" s="4" t="s">
        <v>2107</v>
      </c>
      <c r="U368" s="4" t="s">
        <v>2114</v>
      </c>
    </row>
    <row r="369" spans="1:21" s="4" customFormat="1" x14ac:dyDescent="0.35">
      <c r="A369" s="4" t="s">
        <v>2202</v>
      </c>
      <c r="B369" s="4" t="s">
        <v>117</v>
      </c>
      <c r="C369" s="4" t="s">
        <v>209</v>
      </c>
      <c r="D369" s="4" t="s">
        <v>2203</v>
      </c>
      <c r="E369" s="4" t="s">
        <v>2107</v>
      </c>
      <c r="H369" s="4" t="s">
        <v>2204</v>
      </c>
      <c r="J369" s="4" t="s">
        <v>916</v>
      </c>
      <c r="K369" s="4" t="s">
        <v>1938</v>
      </c>
      <c r="L369" s="4" t="s">
        <v>32</v>
      </c>
      <c r="M369" s="4" t="s">
        <v>141</v>
      </c>
      <c r="N369" s="4" t="s">
        <v>34</v>
      </c>
      <c r="O369" s="4" t="s">
        <v>239</v>
      </c>
      <c r="P369" s="4" t="s">
        <v>2205</v>
      </c>
      <c r="Q369" s="4" t="s">
        <v>2206</v>
      </c>
      <c r="R369" s="4" t="s">
        <v>26</v>
      </c>
      <c r="S369" s="4" t="s">
        <v>38</v>
      </c>
      <c r="T369" s="4" t="s">
        <v>2134</v>
      </c>
      <c r="U369" s="4" t="s">
        <v>2135</v>
      </c>
    </row>
    <row r="370" spans="1:21" s="4" customFormat="1" x14ac:dyDescent="0.35">
      <c r="A370" s="4" t="s">
        <v>2207</v>
      </c>
      <c r="B370" s="4" t="s">
        <v>62</v>
      </c>
      <c r="C370" s="4" t="s">
        <v>63</v>
      </c>
      <c r="D370" s="4" t="s">
        <v>2208</v>
      </c>
      <c r="E370" s="4" t="s">
        <v>2107</v>
      </c>
      <c r="G370" s="4" t="s">
        <v>2209</v>
      </c>
      <c r="H370" s="4" t="s">
        <v>2210</v>
      </c>
      <c r="J370" s="4" t="s">
        <v>247</v>
      </c>
      <c r="K370" s="4" t="s">
        <v>2242</v>
      </c>
      <c r="L370" s="4" t="s">
        <v>65</v>
      </c>
      <c r="M370" s="4" t="s">
        <v>33</v>
      </c>
      <c r="N370" s="4" t="s">
        <v>34</v>
      </c>
      <c r="O370" s="4" t="s">
        <v>239</v>
      </c>
      <c r="P370" s="4" t="s">
        <v>2211</v>
      </c>
      <c r="Q370" s="4" t="s">
        <v>2212</v>
      </c>
      <c r="R370" s="4" t="s">
        <v>2107</v>
      </c>
      <c r="S370" s="4" t="s">
        <v>2113</v>
      </c>
      <c r="T370" s="4" t="s">
        <v>2107</v>
      </c>
      <c r="U370" s="4" t="s">
        <v>2114</v>
      </c>
    </row>
    <row r="371" spans="1:21" s="4" customFormat="1" x14ac:dyDescent="0.35">
      <c r="A371" s="4" t="s">
        <v>2220</v>
      </c>
      <c r="B371" s="4" t="s">
        <v>117</v>
      </c>
      <c r="C371" s="4" t="s">
        <v>2213</v>
      </c>
      <c r="D371" s="4" t="s">
        <v>2214</v>
      </c>
      <c r="E371" s="4" t="s">
        <v>2107</v>
      </c>
      <c r="F371" s="4" t="s">
        <v>2215</v>
      </c>
      <c r="G371" s="4" t="s">
        <v>2216</v>
      </c>
      <c r="H371" s="4" t="s">
        <v>2217</v>
      </c>
      <c r="J371" s="4" t="s">
        <v>247</v>
      </c>
      <c r="L371" s="4" t="s">
        <v>65</v>
      </c>
      <c r="M371" s="4" t="s">
        <v>33</v>
      </c>
      <c r="N371" s="4" t="s">
        <v>34</v>
      </c>
      <c r="O371" s="4" t="s">
        <v>239</v>
      </c>
      <c r="P371" s="4" t="s">
        <v>2218</v>
      </c>
      <c r="Q371" s="4" t="s">
        <v>2219</v>
      </c>
      <c r="R371" s="4" t="s">
        <v>2107</v>
      </c>
      <c r="S371" s="4" t="s">
        <v>2113</v>
      </c>
      <c r="T371" s="4" t="s">
        <v>2107</v>
      </c>
      <c r="U371" s="4" t="s">
        <v>2114</v>
      </c>
    </row>
    <row r="372" spans="1:21" s="4" customFormat="1" x14ac:dyDescent="0.35">
      <c r="A372" s="4" t="s">
        <v>2221</v>
      </c>
      <c r="B372" s="4" t="s">
        <v>117</v>
      </c>
      <c r="C372" s="4" t="s">
        <v>209</v>
      </c>
      <c r="D372" s="4" t="s">
        <v>2222</v>
      </c>
      <c r="E372" s="4" t="s">
        <v>2107</v>
      </c>
      <c r="F372" s="4" t="s">
        <v>2223</v>
      </c>
      <c r="G372" s="4" t="s">
        <v>2224</v>
      </c>
      <c r="H372" s="4" t="s">
        <v>2225</v>
      </c>
      <c r="J372" s="4" t="s">
        <v>1938</v>
      </c>
      <c r="L372" s="4" t="s">
        <v>32</v>
      </c>
      <c r="M372" s="4" t="s">
        <v>141</v>
      </c>
      <c r="N372" s="4" t="s">
        <v>34</v>
      </c>
      <c r="O372" s="4" t="s">
        <v>239</v>
      </c>
      <c r="P372" s="4" t="s">
        <v>2226</v>
      </c>
      <c r="Q372" s="4" t="s">
        <v>2227</v>
      </c>
      <c r="R372" s="4" t="s">
        <v>2107</v>
      </c>
      <c r="S372" s="4" t="s">
        <v>2113</v>
      </c>
      <c r="T372" s="4" t="s">
        <v>2107</v>
      </c>
      <c r="U372" s="4" t="s">
        <v>2114</v>
      </c>
    </row>
  </sheetData>
  <autoFilter ref="A1:Z372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6"/>
  <sheetViews>
    <sheetView tabSelected="1" topLeftCell="A245" workbookViewId="0">
      <selection activeCell="A117" sqref="A117:O246"/>
    </sheetView>
  </sheetViews>
  <sheetFormatPr defaultRowHeight="14.5" x14ac:dyDescent="0.35"/>
  <sheetData>
    <row r="1" spans="1:15" ht="58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ht="174" x14ac:dyDescent="0.35">
      <c r="A2" s="7" t="s">
        <v>150</v>
      </c>
      <c r="B2" s="7" t="s">
        <v>2250</v>
      </c>
      <c r="C2" s="7" t="s">
        <v>2251</v>
      </c>
      <c r="D2" s="7" t="s">
        <v>2252</v>
      </c>
      <c r="E2" s="7" t="s">
        <v>26</v>
      </c>
      <c r="F2" s="7" t="s">
        <v>2253</v>
      </c>
      <c r="G2" s="8" t="s">
        <v>2254</v>
      </c>
      <c r="H2" s="7">
        <v>880258153975</v>
      </c>
      <c r="I2" s="7" t="s">
        <v>2255</v>
      </c>
      <c r="J2" s="7" t="s">
        <v>2256</v>
      </c>
      <c r="K2" s="7" t="s">
        <v>2228</v>
      </c>
      <c r="L2" s="7" t="s">
        <v>2257</v>
      </c>
      <c r="M2" s="7" t="s">
        <v>2258</v>
      </c>
      <c r="N2" s="7" t="s">
        <v>35</v>
      </c>
      <c r="O2" s="7" t="s">
        <v>35</v>
      </c>
    </row>
    <row r="3" spans="1:15" ht="130.5" x14ac:dyDescent="0.35">
      <c r="A3" s="7" t="s">
        <v>2259</v>
      </c>
      <c r="B3" s="7" t="s">
        <v>2260</v>
      </c>
      <c r="C3" s="7" t="s">
        <v>2261</v>
      </c>
      <c r="D3" s="7" t="s">
        <v>595</v>
      </c>
      <c r="E3" s="7" t="s">
        <v>26</v>
      </c>
      <c r="F3" s="8" t="s">
        <v>162</v>
      </c>
      <c r="G3" s="7" t="s">
        <v>2258</v>
      </c>
      <c r="H3" s="7" t="s">
        <v>2262</v>
      </c>
      <c r="I3" s="7" t="s">
        <v>2255</v>
      </c>
      <c r="J3" s="7" t="s">
        <v>2263</v>
      </c>
      <c r="K3" s="7" t="s">
        <v>2229</v>
      </c>
      <c r="L3" s="7" t="s">
        <v>2257</v>
      </c>
      <c r="M3" s="7" t="s">
        <v>2258</v>
      </c>
      <c r="N3" s="7" t="s">
        <v>35</v>
      </c>
      <c r="O3" s="7" t="s">
        <v>35</v>
      </c>
    </row>
    <row r="4" spans="1:15" ht="116" x14ac:dyDescent="0.35">
      <c r="A4" s="7" t="s">
        <v>2264</v>
      </c>
      <c r="B4" s="7" t="s">
        <v>2265</v>
      </c>
      <c r="C4" s="7" t="s">
        <v>2266</v>
      </c>
      <c r="D4" s="7" t="s">
        <v>55</v>
      </c>
      <c r="E4" s="7" t="s">
        <v>26</v>
      </c>
      <c r="F4" s="8" t="s">
        <v>56</v>
      </c>
      <c r="G4" s="8" t="s">
        <v>2267</v>
      </c>
      <c r="H4" s="7" t="s">
        <v>2268</v>
      </c>
      <c r="I4" s="7" t="s">
        <v>2255</v>
      </c>
      <c r="J4" s="7" t="s">
        <v>2269</v>
      </c>
      <c r="K4" s="7" t="s">
        <v>2228</v>
      </c>
      <c r="L4" s="7" t="s">
        <v>2257</v>
      </c>
      <c r="M4" s="7" t="s">
        <v>2258</v>
      </c>
      <c r="N4" s="7" t="s">
        <v>35</v>
      </c>
      <c r="O4" s="7" t="s">
        <v>35</v>
      </c>
    </row>
    <row r="5" spans="1:15" ht="116" x14ac:dyDescent="0.35">
      <c r="A5" s="7" t="s">
        <v>169</v>
      </c>
      <c r="B5" s="7" t="s">
        <v>2265</v>
      </c>
      <c r="C5" s="7" t="s">
        <v>2261</v>
      </c>
      <c r="D5" s="7" t="s">
        <v>2270</v>
      </c>
      <c r="E5" s="7" t="s">
        <v>26</v>
      </c>
      <c r="F5" s="8" t="s">
        <v>2271</v>
      </c>
      <c r="G5" s="8" t="s">
        <v>71</v>
      </c>
      <c r="H5" s="7" t="s">
        <v>2272</v>
      </c>
      <c r="I5" s="7" t="s">
        <v>2255</v>
      </c>
      <c r="J5" s="7" t="s">
        <v>2273</v>
      </c>
      <c r="K5" s="7" t="s">
        <v>2228</v>
      </c>
      <c r="L5" s="7" t="s">
        <v>2257</v>
      </c>
      <c r="M5" s="7" t="s">
        <v>2258</v>
      </c>
      <c r="N5" s="7" t="s">
        <v>35</v>
      </c>
      <c r="O5" s="7" t="s">
        <v>35</v>
      </c>
    </row>
    <row r="6" spans="1:15" ht="116" x14ac:dyDescent="0.35">
      <c r="A6" s="7" t="s">
        <v>171</v>
      </c>
      <c r="B6" s="7" t="s">
        <v>2265</v>
      </c>
      <c r="C6" s="7" t="s">
        <v>2261</v>
      </c>
      <c r="D6" s="7" t="s">
        <v>2274</v>
      </c>
      <c r="E6" s="7" t="s">
        <v>26</v>
      </c>
      <c r="F6" s="8" t="s">
        <v>2275</v>
      </c>
      <c r="G6" s="8" t="s">
        <v>174</v>
      </c>
      <c r="H6" s="7" t="s">
        <v>2276</v>
      </c>
      <c r="I6" s="7" t="s">
        <v>2255</v>
      </c>
      <c r="J6" s="7" t="s">
        <v>2273</v>
      </c>
      <c r="K6" s="7" t="s">
        <v>2228</v>
      </c>
      <c r="L6" s="7" t="s">
        <v>2257</v>
      </c>
      <c r="M6" s="7" t="s">
        <v>2258</v>
      </c>
      <c r="N6" s="7" t="s">
        <v>35</v>
      </c>
      <c r="O6" s="7" t="s">
        <v>35</v>
      </c>
    </row>
    <row r="7" spans="1:15" ht="246.5" x14ac:dyDescent="0.35">
      <c r="A7" s="7" t="s">
        <v>22</v>
      </c>
      <c r="B7" s="7" t="s">
        <v>2277</v>
      </c>
      <c r="C7" s="7" t="s">
        <v>2278</v>
      </c>
      <c r="D7" s="7" t="s">
        <v>2279</v>
      </c>
      <c r="E7" s="7" t="s">
        <v>26</v>
      </c>
      <c r="F7" s="8" t="s">
        <v>27</v>
      </c>
      <c r="G7" s="8" t="s">
        <v>2280</v>
      </c>
      <c r="H7" s="7" t="s">
        <v>2258</v>
      </c>
      <c r="I7" s="7" t="s">
        <v>2255</v>
      </c>
      <c r="J7" s="7" t="s">
        <v>2273</v>
      </c>
      <c r="K7" s="7" t="s">
        <v>2258</v>
      </c>
      <c r="L7" s="7" t="s">
        <v>2257</v>
      </c>
      <c r="M7" s="7" t="s">
        <v>2258</v>
      </c>
      <c r="N7" s="7" t="s">
        <v>35</v>
      </c>
      <c r="O7" s="7" t="s">
        <v>35</v>
      </c>
    </row>
    <row r="8" spans="1:15" ht="101.5" x14ac:dyDescent="0.35">
      <c r="A8" s="7" t="s">
        <v>40</v>
      </c>
      <c r="B8" s="7" t="s">
        <v>23</v>
      </c>
      <c r="C8" s="7" t="s">
        <v>2278</v>
      </c>
      <c r="D8" s="7" t="s">
        <v>41</v>
      </c>
      <c r="E8" s="7" t="s">
        <v>26</v>
      </c>
      <c r="F8" s="8" t="s">
        <v>2281</v>
      </c>
      <c r="G8" s="8" t="s">
        <v>2281</v>
      </c>
      <c r="H8" s="7" t="s">
        <v>2282</v>
      </c>
      <c r="I8" s="7" t="s">
        <v>2283</v>
      </c>
      <c r="J8" s="7" t="s">
        <v>2273</v>
      </c>
      <c r="K8" s="7" t="s">
        <v>2228</v>
      </c>
      <c r="L8" s="7" t="s">
        <v>2257</v>
      </c>
      <c r="M8" s="7" t="s">
        <v>2258</v>
      </c>
      <c r="N8" s="7" t="s">
        <v>35</v>
      </c>
      <c r="O8" s="7" t="s">
        <v>35</v>
      </c>
    </row>
    <row r="9" spans="1:15" ht="87" x14ac:dyDescent="0.35">
      <c r="A9" s="7" t="s">
        <v>2284</v>
      </c>
      <c r="B9" s="7" t="s">
        <v>2265</v>
      </c>
      <c r="C9" s="7" t="s">
        <v>2278</v>
      </c>
      <c r="D9" s="7" t="s">
        <v>47</v>
      </c>
      <c r="E9" s="7" t="s">
        <v>26</v>
      </c>
      <c r="F9" s="8" t="s">
        <v>48</v>
      </c>
      <c r="G9" s="7" t="s">
        <v>2258</v>
      </c>
      <c r="H9" s="7" t="s">
        <v>2285</v>
      </c>
      <c r="I9" s="7" t="s">
        <v>2255</v>
      </c>
      <c r="J9" s="7" t="s">
        <v>2273</v>
      </c>
      <c r="K9" s="7" t="s">
        <v>2228</v>
      </c>
      <c r="L9" s="7" t="s">
        <v>2257</v>
      </c>
      <c r="M9" s="7" t="s">
        <v>2258</v>
      </c>
      <c r="N9" s="7" t="s">
        <v>35</v>
      </c>
      <c r="O9" s="7" t="s">
        <v>35</v>
      </c>
    </row>
    <row r="10" spans="1:15" ht="130.5" x14ac:dyDescent="0.35">
      <c r="A10" s="7" t="s">
        <v>52</v>
      </c>
      <c r="B10" s="7" t="s">
        <v>2286</v>
      </c>
      <c r="C10" s="7" t="s">
        <v>2287</v>
      </c>
      <c r="D10" s="7" t="s">
        <v>55</v>
      </c>
      <c r="E10" s="7" t="s">
        <v>26</v>
      </c>
      <c r="F10" s="8" t="s">
        <v>56</v>
      </c>
      <c r="G10" s="8" t="s">
        <v>2288</v>
      </c>
      <c r="H10" s="7" t="s">
        <v>2258</v>
      </c>
      <c r="I10" s="7" t="s">
        <v>2255</v>
      </c>
      <c r="J10" s="7" t="s">
        <v>2273</v>
      </c>
      <c r="K10" s="7" t="s">
        <v>31</v>
      </c>
      <c r="L10" s="7" t="s">
        <v>2257</v>
      </c>
      <c r="M10" s="7" t="s">
        <v>2258</v>
      </c>
      <c r="N10" s="7" t="s">
        <v>35</v>
      </c>
      <c r="O10" s="7" t="s">
        <v>35</v>
      </c>
    </row>
    <row r="11" spans="1:15" ht="203" x14ac:dyDescent="0.35">
      <c r="A11" s="7" t="s">
        <v>61</v>
      </c>
      <c r="B11" s="7" t="s">
        <v>2289</v>
      </c>
      <c r="C11" s="7" t="s">
        <v>2290</v>
      </c>
      <c r="D11" s="7" t="s">
        <v>55</v>
      </c>
      <c r="E11" s="7" t="s">
        <v>26</v>
      </c>
      <c r="F11" s="8" t="s">
        <v>56</v>
      </c>
      <c r="G11" s="7" t="s">
        <v>2258</v>
      </c>
      <c r="H11" s="7" t="s">
        <v>2258</v>
      </c>
      <c r="I11" s="7" t="s">
        <v>2255</v>
      </c>
      <c r="J11" s="7" t="s">
        <v>2291</v>
      </c>
      <c r="K11" s="7" t="s">
        <v>2228</v>
      </c>
      <c r="L11" s="7" t="s">
        <v>2292</v>
      </c>
      <c r="M11" s="7" t="s">
        <v>2258</v>
      </c>
      <c r="N11" s="7" t="s">
        <v>35</v>
      </c>
      <c r="O11" s="7" t="s">
        <v>35</v>
      </c>
    </row>
    <row r="12" spans="1:15" ht="203" x14ac:dyDescent="0.35">
      <c r="A12" s="7" t="s">
        <v>2293</v>
      </c>
      <c r="B12" s="7" t="s">
        <v>2289</v>
      </c>
      <c r="C12" s="7" t="s">
        <v>2290</v>
      </c>
      <c r="D12" s="7" t="s">
        <v>69</v>
      </c>
      <c r="E12" s="7" t="s">
        <v>26</v>
      </c>
      <c r="F12" s="8" t="s">
        <v>2271</v>
      </c>
      <c r="G12" s="8" t="s">
        <v>71</v>
      </c>
      <c r="H12" s="7" t="s">
        <v>2258</v>
      </c>
      <c r="I12" s="7" t="s">
        <v>2255</v>
      </c>
      <c r="J12" s="7" t="s">
        <v>2273</v>
      </c>
      <c r="K12" s="7" t="s">
        <v>2228</v>
      </c>
      <c r="L12" s="7" t="s">
        <v>2292</v>
      </c>
      <c r="M12" s="7" t="s">
        <v>2258</v>
      </c>
      <c r="N12" s="7" t="s">
        <v>35</v>
      </c>
      <c r="O12" s="7" t="s">
        <v>35</v>
      </c>
    </row>
    <row r="13" spans="1:15" ht="203" x14ac:dyDescent="0.35">
      <c r="A13" s="7" t="s">
        <v>75</v>
      </c>
      <c r="B13" s="7" t="s">
        <v>2289</v>
      </c>
      <c r="C13" s="7" t="s">
        <v>2290</v>
      </c>
      <c r="D13" s="7" t="s">
        <v>2294</v>
      </c>
      <c r="E13" s="7" t="s">
        <v>26</v>
      </c>
      <c r="F13" s="8" t="s">
        <v>48</v>
      </c>
      <c r="G13" s="7" t="s">
        <v>2258</v>
      </c>
      <c r="H13" s="7" t="s">
        <v>2285</v>
      </c>
      <c r="I13" s="7" t="s">
        <v>2255</v>
      </c>
      <c r="J13" s="7" t="s">
        <v>2273</v>
      </c>
      <c r="K13" s="7" t="s">
        <v>2228</v>
      </c>
      <c r="L13" s="7" t="s">
        <v>2292</v>
      </c>
      <c r="M13" s="7" t="s">
        <v>2258</v>
      </c>
      <c r="N13" s="7" t="s">
        <v>35</v>
      </c>
      <c r="O13" s="7" t="s">
        <v>35</v>
      </c>
    </row>
    <row r="14" spans="1:15" ht="203" x14ac:dyDescent="0.35">
      <c r="A14" s="7" t="s">
        <v>2295</v>
      </c>
      <c r="B14" s="7" t="s">
        <v>2289</v>
      </c>
      <c r="C14" s="7" t="s">
        <v>2290</v>
      </c>
      <c r="D14" s="7" t="s">
        <v>2296</v>
      </c>
      <c r="E14" s="7" t="s">
        <v>26</v>
      </c>
      <c r="F14" s="8" t="s">
        <v>2297</v>
      </c>
      <c r="G14" s="8" t="s">
        <v>78</v>
      </c>
      <c r="H14" s="7" t="s">
        <v>79</v>
      </c>
      <c r="I14" s="7" t="s">
        <v>2258</v>
      </c>
      <c r="J14" s="7" t="s">
        <v>2298</v>
      </c>
      <c r="K14" s="7" t="s">
        <v>2228</v>
      </c>
      <c r="L14" s="7" t="s">
        <v>2292</v>
      </c>
      <c r="M14" s="7" t="s">
        <v>2258</v>
      </c>
      <c r="N14" s="7" t="s">
        <v>35</v>
      </c>
      <c r="O14" s="7" t="s">
        <v>35</v>
      </c>
    </row>
    <row r="15" spans="1:15" ht="203" x14ac:dyDescent="0.35">
      <c r="A15" s="7" t="s">
        <v>2299</v>
      </c>
      <c r="B15" s="7" t="s">
        <v>2289</v>
      </c>
      <c r="C15" s="7" t="s">
        <v>2290</v>
      </c>
      <c r="D15" s="7" t="s">
        <v>2300</v>
      </c>
      <c r="E15" s="7" t="s">
        <v>26</v>
      </c>
      <c r="F15" s="7" t="s">
        <v>2258</v>
      </c>
      <c r="G15" s="8" t="s">
        <v>84</v>
      </c>
      <c r="H15" s="7" t="s">
        <v>2301</v>
      </c>
      <c r="I15" s="7" t="s">
        <v>2255</v>
      </c>
      <c r="J15" s="7" t="s">
        <v>2302</v>
      </c>
      <c r="K15" s="7" t="s">
        <v>2228</v>
      </c>
      <c r="L15" s="7" t="s">
        <v>2292</v>
      </c>
      <c r="M15" s="7" t="s">
        <v>2258</v>
      </c>
      <c r="N15" s="7" t="s">
        <v>35</v>
      </c>
      <c r="O15" s="7" t="s">
        <v>35</v>
      </c>
    </row>
    <row r="16" spans="1:15" ht="203" x14ac:dyDescent="0.35">
      <c r="A16" s="7" t="s">
        <v>91</v>
      </c>
      <c r="B16" s="7" t="s">
        <v>2289</v>
      </c>
      <c r="C16" s="7" t="s">
        <v>2290</v>
      </c>
      <c r="D16" s="7" t="s">
        <v>92</v>
      </c>
      <c r="E16" s="7" t="s">
        <v>26</v>
      </c>
      <c r="F16" s="8" t="s">
        <v>93</v>
      </c>
      <c r="G16" s="8" t="s">
        <v>94</v>
      </c>
      <c r="H16" s="7">
        <v>880249273251</v>
      </c>
      <c r="I16" s="7" t="s">
        <v>2255</v>
      </c>
      <c r="J16" s="7" t="s">
        <v>2273</v>
      </c>
      <c r="K16" s="7" t="s">
        <v>2228</v>
      </c>
      <c r="L16" s="7" t="s">
        <v>2292</v>
      </c>
      <c r="M16" s="7" t="s">
        <v>2258</v>
      </c>
      <c r="N16" s="7" t="s">
        <v>35</v>
      </c>
      <c r="O16" s="7" t="s">
        <v>35</v>
      </c>
    </row>
    <row r="17" spans="1:15" ht="203" x14ac:dyDescent="0.35">
      <c r="A17" s="7" t="s">
        <v>2303</v>
      </c>
      <c r="B17" s="7" t="s">
        <v>2289</v>
      </c>
      <c r="C17" s="7" t="s">
        <v>2290</v>
      </c>
      <c r="D17" s="7" t="s">
        <v>101</v>
      </c>
      <c r="E17" s="7" t="s">
        <v>26</v>
      </c>
      <c r="F17" s="7" t="s">
        <v>2304</v>
      </c>
      <c r="G17" s="8" t="s">
        <v>103</v>
      </c>
      <c r="H17" s="7" t="s">
        <v>2305</v>
      </c>
      <c r="I17" s="7" t="s">
        <v>2255</v>
      </c>
      <c r="J17" s="7" t="s">
        <v>2258</v>
      </c>
      <c r="K17" s="7" t="s">
        <v>2228</v>
      </c>
      <c r="L17" s="7" t="s">
        <v>2292</v>
      </c>
      <c r="M17" s="7" t="s">
        <v>2258</v>
      </c>
      <c r="N17" s="7" t="s">
        <v>35</v>
      </c>
      <c r="O17" s="7" t="s">
        <v>35</v>
      </c>
    </row>
    <row r="18" spans="1:15" ht="174" x14ac:dyDescent="0.35">
      <c r="A18" s="7" t="s">
        <v>2306</v>
      </c>
      <c r="B18" s="7" t="s">
        <v>2289</v>
      </c>
      <c r="C18" s="7" t="s">
        <v>2307</v>
      </c>
      <c r="D18" s="7" t="s">
        <v>2308</v>
      </c>
      <c r="E18" s="7" t="s">
        <v>26</v>
      </c>
      <c r="F18" s="8" t="s">
        <v>2309</v>
      </c>
      <c r="G18" s="8" t="s">
        <v>111</v>
      </c>
      <c r="H18" s="7" t="s">
        <v>2310</v>
      </c>
      <c r="I18" s="7" t="s">
        <v>2255</v>
      </c>
      <c r="J18" s="7" t="s">
        <v>2273</v>
      </c>
      <c r="K18" s="7" t="s">
        <v>2228</v>
      </c>
      <c r="L18" s="7" t="s">
        <v>2292</v>
      </c>
      <c r="M18" s="7" t="s">
        <v>2258</v>
      </c>
      <c r="N18" s="7" t="s">
        <v>35</v>
      </c>
      <c r="O18" s="7" t="s">
        <v>35</v>
      </c>
    </row>
    <row r="19" spans="1:15" ht="101.5" x14ac:dyDescent="0.35">
      <c r="A19" s="7" t="s">
        <v>2311</v>
      </c>
      <c r="B19" s="7" t="s">
        <v>2312</v>
      </c>
      <c r="C19" s="7" t="s">
        <v>2313</v>
      </c>
      <c r="D19" s="7" t="s">
        <v>2314</v>
      </c>
      <c r="E19" s="7" t="s">
        <v>26</v>
      </c>
      <c r="F19" s="8" t="s">
        <v>2315</v>
      </c>
      <c r="G19" s="8" t="s">
        <v>121</v>
      </c>
      <c r="H19" s="7" t="s">
        <v>2316</v>
      </c>
      <c r="I19" s="7" t="s">
        <v>2255</v>
      </c>
      <c r="J19" s="7" t="s">
        <v>2273</v>
      </c>
      <c r="K19" s="7" t="s">
        <v>2258</v>
      </c>
      <c r="L19" s="7" t="s">
        <v>2257</v>
      </c>
      <c r="M19" s="7" t="s">
        <v>2258</v>
      </c>
      <c r="N19" s="7" t="s">
        <v>35</v>
      </c>
      <c r="O19" s="7" t="s">
        <v>35</v>
      </c>
    </row>
    <row r="20" spans="1:15" ht="217.5" x14ac:dyDescent="0.35">
      <c r="A20" s="7" t="s">
        <v>2317</v>
      </c>
      <c r="B20" s="7" t="s">
        <v>2312</v>
      </c>
      <c r="C20" s="7" t="s">
        <v>2318</v>
      </c>
      <c r="D20" s="7" t="s">
        <v>128</v>
      </c>
      <c r="E20" s="7" t="s">
        <v>26</v>
      </c>
      <c r="F20" s="8" t="s">
        <v>2319</v>
      </c>
      <c r="G20" s="7" t="s">
        <v>2258</v>
      </c>
      <c r="H20" s="7" t="s">
        <v>2320</v>
      </c>
      <c r="I20" s="7" t="s">
        <v>2255</v>
      </c>
      <c r="J20" s="7" t="s">
        <v>2321</v>
      </c>
      <c r="K20" s="7" t="s">
        <v>2229</v>
      </c>
      <c r="L20" s="7" t="s">
        <v>2292</v>
      </c>
      <c r="M20" s="7" t="s">
        <v>2258</v>
      </c>
      <c r="N20" s="7" t="s">
        <v>35</v>
      </c>
      <c r="O20" s="7" t="s">
        <v>35</v>
      </c>
    </row>
    <row r="21" spans="1:15" ht="188.5" x14ac:dyDescent="0.35">
      <c r="A21" s="7" t="s">
        <v>2322</v>
      </c>
      <c r="B21" s="7" t="s">
        <v>2323</v>
      </c>
      <c r="C21" s="7" t="s">
        <v>2287</v>
      </c>
      <c r="D21" s="7" t="s">
        <v>2324</v>
      </c>
      <c r="E21" s="7" t="s">
        <v>26</v>
      </c>
      <c r="F21" s="8" t="s">
        <v>136</v>
      </c>
      <c r="G21" s="8" t="s">
        <v>137</v>
      </c>
      <c r="H21" s="7" t="s">
        <v>2325</v>
      </c>
      <c r="I21" s="7" t="s">
        <v>2326</v>
      </c>
      <c r="J21" s="7" t="s">
        <v>140</v>
      </c>
      <c r="K21" s="7" t="s">
        <v>31</v>
      </c>
      <c r="L21" s="7" t="s">
        <v>2257</v>
      </c>
      <c r="M21" s="7" t="s">
        <v>141</v>
      </c>
      <c r="N21" s="7" t="s">
        <v>35</v>
      </c>
      <c r="O21" s="7" t="s">
        <v>35</v>
      </c>
    </row>
    <row r="22" spans="1:15" ht="116" x14ac:dyDescent="0.35">
      <c r="A22" s="7" t="s">
        <v>149</v>
      </c>
      <c r="B22" s="7" t="s">
        <v>2250</v>
      </c>
      <c r="C22" s="7" t="s">
        <v>2278</v>
      </c>
      <c r="D22" s="7" t="s">
        <v>2327</v>
      </c>
      <c r="E22" s="7" t="s">
        <v>26</v>
      </c>
      <c r="F22" s="8" t="s">
        <v>2328</v>
      </c>
      <c r="G22" s="8" t="s">
        <v>145</v>
      </c>
      <c r="H22" s="7" t="s">
        <v>2329</v>
      </c>
      <c r="I22" s="7" t="s">
        <v>2255</v>
      </c>
      <c r="J22" s="7" t="s">
        <v>2273</v>
      </c>
      <c r="K22" s="7" t="s">
        <v>2228</v>
      </c>
      <c r="L22" s="7" t="s">
        <v>2257</v>
      </c>
      <c r="M22" s="7" t="s">
        <v>2258</v>
      </c>
      <c r="N22" s="7" t="s">
        <v>35</v>
      </c>
      <c r="O22" s="7" t="s">
        <v>35</v>
      </c>
    </row>
    <row r="23" spans="1:15" ht="87" x14ac:dyDescent="0.35">
      <c r="A23" s="7" t="s">
        <v>2330</v>
      </c>
      <c r="B23" s="7" t="s">
        <v>2277</v>
      </c>
      <c r="C23" s="7" t="s">
        <v>2278</v>
      </c>
      <c r="D23" s="7" t="s">
        <v>179</v>
      </c>
      <c r="E23" s="7" t="s">
        <v>26</v>
      </c>
      <c r="F23" s="8" t="s">
        <v>180</v>
      </c>
      <c r="G23" s="8" t="s">
        <v>181</v>
      </c>
      <c r="H23" s="7">
        <f>8802223371242-7</f>
        <v>8802223371235</v>
      </c>
      <c r="I23" s="7" t="s">
        <v>2255</v>
      </c>
      <c r="J23" s="7" t="s">
        <v>2273</v>
      </c>
      <c r="K23" s="7" t="s">
        <v>2228</v>
      </c>
      <c r="L23" s="7" t="s">
        <v>2257</v>
      </c>
      <c r="M23" s="7" t="s">
        <v>2258</v>
      </c>
      <c r="N23" s="7" t="s">
        <v>35</v>
      </c>
      <c r="O23" s="7" t="s">
        <v>35</v>
      </c>
    </row>
    <row r="24" spans="1:15" ht="174" x14ac:dyDescent="0.35">
      <c r="A24" s="7" t="s">
        <v>2331</v>
      </c>
      <c r="B24" s="7" t="s">
        <v>2286</v>
      </c>
      <c r="C24" s="7" t="s">
        <v>2332</v>
      </c>
      <c r="D24" s="7" t="s">
        <v>109</v>
      </c>
      <c r="E24" s="7" t="s">
        <v>26</v>
      </c>
      <c r="F24" s="8" t="s">
        <v>2309</v>
      </c>
      <c r="G24" s="8" t="s">
        <v>188</v>
      </c>
      <c r="H24" s="7" t="s">
        <v>2310</v>
      </c>
      <c r="I24" s="7" t="s">
        <v>2255</v>
      </c>
      <c r="J24" s="7" t="s">
        <v>2273</v>
      </c>
      <c r="K24" s="7" t="s">
        <v>2228</v>
      </c>
      <c r="L24" s="7" t="s">
        <v>2257</v>
      </c>
      <c r="M24" s="7" t="s">
        <v>2258</v>
      </c>
      <c r="N24" s="7" t="s">
        <v>35</v>
      </c>
      <c r="O24" s="7" t="s">
        <v>35</v>
      </c>
    </row>
    <row r="25" spans="1:15" ht="145" x14ac:dyDescent="0.35">
      <c r="A25" s="7" t="s">
        <v>2333</v>
      </c>
      <c r="B25" s="7" t="s">
        <v>2265</v>
      </c>
      <c r="C25" s="7" t="s">
        <v>2278</v>
      </c>
      <c r="D25" s="7" t="s">
        <v>2334</v>
      </c>
      <c r="E25" s="7" t="s">
        <v>26</v>
      </c>
      <c r="F25" s="8" t="s">
        <v>193</v>
      </c>
      <c r="G25" s="8" t="s">
        <v>194</v>
      </c>
      <c r="H25" s="7">
        <v>88063161744</v>
      </c>
      <c r="I25" s="7" t="s">
        <v>2255</v>
      </c>
      <c r="J25" s="7" t="s">
        <v>2335</v>
      </c>
      <c r="K25" s="7" t="s">
        <v>2228</v>
      </c>
      <c r="L25" s="7" t="s">
        <v>2257</v>
      </c>
      <c r="M25" s="7" t="s">
        <v>2258</v>
      </c>
      <c r="N25" s="7" t="s">
        <v>35</v>
      </c>
      <c r="O25" s="7" t="s">
        <v>35</v>
      </c>
    </row>
    <row r="26" spans="1:15" ht="101.5" x14ac:dyDescent="0.35">
      <c r="A26" s="7" t="s">
        <v>2336</v>
      </c>
      <c r="B26" s="7" t="s">
        <v>2277</v>
      </c>
      <c r="C26" s="7" t="s">
        <v>2278</v>
      </c>
      <c r="D26" s="7" t="s">
        <v>2300</v>
      </c>
      <c r="E26" s="7" t="s">
        <v>26</v>
      </c>
      <c r="F26" s="7" t="s">
        <v>2258</v>
      </c>
      <c r="G26" s="8" t="s">
        <v>84</v>
      </c>
      <c r="H26" s="7" t="s">
        <v>2301</v>
      </c>
      <c r="I26" s="7" t="s">
        <v>2255</v>
      </c>
      <c r="J26" s="7" t="s">
        <v>2273</v>
      </c>
      <c r="K26" s="7" t="s">
        <v>2228</v>
      </c>
      <c r="L26" s="7" t="s">
        <v>2257</v>
      </c>
      <c r="M26" s="7" t="s">
        <v>2258</v>
      </c>
      <c r="N26" s="7" t="s">
        <v>35</v>
      </c>
      <c r="O26" s="7" t="s">
        <v>35</v>
      </c>
    </row>
    <row r="27" spans="1:15" ht="116" x14ac:dyDescent="0.35">
      <c r="A27" s="7" t="s">
        <v>2337</v>
      </c>
      <c r="B27" s="7" t="s">
        <v>2265</v>
      </c>
      <c r="C27" s="7" t="s">
        <v>2278</v>
      </c>
      <c r="D27" s="7" t="s">
        <v>92</v>
      </c>
      <c r="E27" s="7" t="s">
        <v>26</v>
      </c>
      <c r="F27" s="8" t="s">
        <v>93</v>
      </c>
      <c r="G27" s="8" t="s">
        <v>94</v>
      </c>
      <c r="H27" s="7">
        <f>880-2-49273251</f>
        <v>-49272373</v>
      </c>
      <c r="I27" s="7" t="s">
        <v>2255</v>
      </c>
      <c r="J27" s="7" t="s">
        <v>2273</v>
      </c>
      <c r="K27" s="7" t="s">
        <v>2228</v>
      </c>
      <c r="L27" s="7" t="s">
        <v>2257</v>
      </c>
      <c r="M27" s="7" t="s">
        <v>2258</v>
      </c>
      <c r="N27" s="7" t="s">
        <v>35</v>
      </c>
      <c r="O27" s="7" t="s">
        <v>35</v>
      </c>
    </row>
    <row r="28" spans="1:15" ht="87" x14ac:dyDescent="0.35">
      <c r="A28" s="7" t="s">
        <v>201</v>
      </c>
      <c r="B28" s="7" t="s">
        <v>2265</v>
      </c>
      <c r="C28" s="7" t="s">
        <v>2278</v>
      </c>
      <c r="D28" s="7" t="s">
        <v>101</v>
      </c>
      <c r="E28" s="7" t="s">
        <v>26</v>
      </c>
      <c r="F28" s="7" t="s">
        <v>2304</v>
      </c>
      <c r="G28" s="8" t="s">
        <v>2338</v>
      </c>
      <c r="H28" s="7" t="s">
        <v>2305</v>
      </c>
      <c r="I28" s="7" t="s">
        <v>2255</v>
      </c>
      <c r="J28" s="7" t="s">
        <v>2273</v>
      </c>
      <c r="K28" s="7" t="s">
        <v>2228</v>
      </c>
      <c r="L28" s="7" t="s">
        <v>2257</v>
      </c>
      <c r="M28" s="7" t="s">
        <v>2258</v>
      </c>
      <c r="N28" s="7" t="s">
        <v>35</v>
      </c>
      <c r="O28" s="7" t="s">
        <v>35</v>
      </c>
    </row>
    <row r="29" spans="1:15" ht="159.5" x14ac:dyDescent="0.35">
      <c r="A29" s="7" t="s">
        <v>2339</v>
      </c>
      <c r="B29" s="7" t="s">
        <v>2340</v>
      </c>
      <c r="C29" s="7" t="s">
        <v>2313</v>
      </c>
      <c r="D29" s="7" t="s">
        <v>203</v>
      </c>
      <c r="E29" s="7" t="s">
        <v>26</v>
      </c>
      <c r="F29" s="8" t="s">
        <v>2341</v>
      </c>
      <c r="G29" s="8" t="s">
        <v>2342</v>
      </c>
      <c r="H29" s="7">
        <v>1755654835</v>
      </c>
      <c r="I29" s="7" t="s">
        <v>2255</v>
      </c>
      <c r="J29" s="7" t="s">
        <v>2343</v>
      </c>
      <c r="K29" s="7" t="s">
        <v>2344</v>
      </c>
      <c r="L29" s="7" t="s">
        <v>2257</v>
      </c>
      <c r="M29" s="7" t="s">
        <v>2258</v>
      </c>
      <c r="N29" s="7" t="s">
        <v>2345</v>
      </c>
      <c r="O29" s="7" t="s">
        <v>2345</v>
      </c>
    </row>
    <row r="30" spans="1:15" ht="159.5" x14ac:dyDescent="0.35">
      <c r="A30" s="7" t="s">
        <v>2346</v>
      </c>
      <c r="B30" s="7" t="s">
        <v>2347</v>
      </c>
      <c r="C30" s="7" t="s">
        <v>2348</v>
      </c>
      <c r="D30" s="7" t="s">
        <v>210</v>
      </c>
      <c r="E30" s="7" t="s">
        <v>26</v>
      </c>
      <c r="F30" s="8" t="s">
        <v>211</v>
      </c>
      <c r="G30" s="8" t="s">
        <v>212</v>
      </c>
      <c r="H30" s="7" t="s">
        <v>2349</v>
      </c>
      <c r="I30" s="7" t="s">
        <v>2326</v>
      </c>
      <c r="J30" s="7" t="s">
        <v>2343</v>
      </c>
      <c r="K30" s="7" t="s">
        <v>2231</v>
      </c>
      <c r="L30" s="7" t="s">
        <v>2257</v>
      </c>
      <c r="M30" s="7" t="s">
        <v>2258</v>
      </c>
      <c r="N30" s="7" t="s">
        <v>2345</v>
      </c>
      <c r="O30" s="7" t="s">
        <v>2345</v>
      </c>
    </row>
    <row r="31" spans="1:15" ht="203" x14ac:dyDescent="0.35">
      <c r="A31" s="7" t="s">
        <v>216</v>
      </c>
      <c r="B31" s="7" t="s">
        <v>2350</v>
      </c>
      <c r="C31" s="7" t="s">
        <v>2351</v>
      </c>
      <c r="D31" s="7" t="s">
        <v>210</v>
      </c>
      <c r="E31" s="7" t="s">
        <v>26</v>
      </c>
      <c r="F31" s="8" t="s">
        <v>219</v>
      </c>
      <c r="G31" s="8" t="s">
        <v>2352</v>
      </c>
      <c r="H31" s="7">
        <v>1996737578</v>
      </c>
      <c r="I31" s="7" t="s">
        <v>2326</v>
      </c>
      <c r="J31" s="7" t="s">
        <v>2343</v>
      </c>
      <c r="K31" s="7" t="s">
        <v>2232</v>
      </c>
      <c r="L31" s="7" t="s">
        <v>2257</v>
      </c>
      <c r="M31" s="7" t="s">
        <v>2258</v>
      </c>
      <c r="N31" s="7" t="s">
        <v>2345</v>
      </c>
      <c r="O31" s="7" t="s">
        <v>2345</v>
      </c>
    </row>
    <row r="32" spans="1:15" ht="130.5" x14ac:dyDescent="0.35">
      <c r="A32" s="7" t="s">
        <v>221</v>
      </c>
      <c r="B32" s="7" t="s">
        <v>2350</v>
      </c>
      <c r="C32" s="7" t="s">
        <v>2353</v>
      </c>
      <c r="D32" s="7" t="s">
        <v>210</v>
      </c>
      <c r="E32" s="7" t="s">
        <v>26</v>
      </c>
      <c r="F32" s="8" t="s">
        <v>219</v>
      </c>
      <c r="G32" s="8" t="s">
        <v>2354</v>
      </c>
      <c r="H32" s="7">
        <v>1731709099</v>
      </c>
      <c r="I32" s="7" t="s">
        <v>2326</v>
      </c>
      <c r="J32" s="7" t="s">
        <v>2343</v>
      </c>
      <c r="K32" s="7" t="s">
        <v>2258</v>
      </c>
      <c r="L32" s="7" t="s">
        <v>2257</v>
      </c>
      <c r="M32" s="7" t="s">
        <v>2258</v>
      </c>
      <c r="N32" s="7" t="s">
        <v>2345</v>
      </c>
      <c r="O32" s="7" t="s">
        <v>2345</v>
      </c>
    </row>
    <row r="33" spans="1:15" ht="130.5" x14ac:dyDescent="0.35">
      <c r="A33" s="7" t="s">
        <v>226</v>
      </c>
      <c r="B33" s="7" t="s">
        <v>2323</v>
      </c>
      <c r="C33" s="7" t="s">
        <v>2355</v>
      </c>
      <c r="D33" s="7" t="s">
        <v>223</v>
      </c>
      <c r="E33" s="7" t="s">
        <v>26</v>
      </c>
      <c r="F33" s="8" t="s">
        <v>2356</v>
      </c>
      <c r="G33" s="7" t="s">
        <v>2258</v>
      </c>
      <c r="H33" s="7" t="s">
        <v>2357</v>
      </c>
      <c r="I33" s="7" t="s">
        <v>2326</v>
      </c>
      <c r="J33" s="7" t="s">
        <v>2343</v>
      </c>
      <c r="K33" s="7" t="s">
        <v>31</v>
      </c>
      <c r="L33" s="7" t="s">
        <v>2257</v>
      </c>
      <c r="M33" s="7" t="s">
        <v>2258</v>
      </c>
      <c r="N33" s="7" t="s">
        <v>2345</v>
      </c>
      <c r="O33" s="7" t="s">
        <v>2345</v>
      </c>
    </row>
    <row r="34" spans="1:15" ht="145" x14ac:dyDescent="0.35">
      <c r="A34" s="7" t="s">
        <v>2358</v>
      </c>
      <c r="B34" s="7" t="s">
        <v>2323</v>
      </c>
      <c r="C34" s="7" t="s">
        <v>2359</v>
      </c>
      <c r="D34" s="7" t="s">
        <v>2360</v>
      </c>
      <c r="E34" s="7" t="s">
        <v>26</v>
      </c>
      <c r="F34" s="8" t="s">
        <v>2361</v>
      </c>
      <c r="G34" s="7" t="s">
        <v>2258</v>
      </c>
      <c r="H34" s="7" t="s">
        <v>229</v>
      </c>
      <c r="I34" s="7" t="s">
        <v>2326</v>
      </c>
      <c r="J34" s="7" t="s">
        <v>2362</v>
      </c>
      <c r="K34" s="7" t="s">
        <v>31</v>
      </c>
      <c r="L34" s="7" t="s">
        <v>2257</v>
      </c>
      <c r="M34" s="7" t="s">
        <v>2258</v>
      </c>
      <c r="N34" s="7" t="s">
        <v>2345</v>
      </c>
      <c r="O34" s="7" t="s">
        <v>2345</v>
      </c>
    </row>
    <row r="35" spans="1:15" ht="188.5" x14ac:dyDescent="0.35">
      <c r="A35" s="7" t="s">
        <v>2363</v>
      </c>
      <c r="B35" s="7" t="s">
        <v>2364</v>
      </c>
      <c r="C35" s="7" t="s">
        <v>2365</v>
      </c>
      <c r="D35" s="7" t="s">
        <v>2366</v>
      </c>
      <c r="E35" s="7" t="s">
        <v>26</v>
      </c>
      <c r="F35" s="8" t="s">
        <v>2367</v>
      </c>
      <c r="G35" s="8" t="s">
        <v>236</v>
      </c>
      <c r="H35" s="7" t="s">
        <v>2368</v>
      </c>
      <c r="I35" s="7" t="s">
        <v>2258</v>
      </c>
      <c r="J35" s="7" t="s">
        <v>2258</v>
      </c>
      <c r="K35" s="7" t="s">
        <v>2258</v>
      </c>
      <c r="L35" s="7" t="s">
        <v>2257</v>
      </c>
      <c r="M35" s="7" t="s">
        <v>2258</v>
      </c>
      <c r="N35" s="7" t="s">
        <v>2369</v>
      </c>
      <c r="O35" s="7" t="s">
        <v>2369</v>
      </c>
    </row>
    <row r="36" spans="1:15" ht="72.5" x14ac:dyDescent="0.35">
      <c r="A36" s="7" t="s">
        <v>2370</v>
      </c>
      <c r="B36" s="7" t="s">
        <v>2371</v>
      </c>
      <c r="C36" s="7" t="s">
        <v>2372</v>
      </c>
      <c r="D36" s="7" t="s">
        <v>243</v>
      </c>
      <c r="E36" s="7" t="s">
        <v>26</v>
      </c>
      <c r="F36" s="8" t="s">
        <v>2373</v>
      </c>
      <c r="G36" s="8" t="s">
        <v>245</v>
      </c>
      <c r="H36" s="7" t="s">
        <v>2374</v>
      </c>
      <c r="I36" s="7" t="s">
        <v>256</v>
      </c>
      <c r="J36" s="7" t="s">
        <v>2375</v>
      </c>
      <c r="K36" s="7" t="s">
        <v>2258</v>
      </c>
      <c r="L36" s="7" t="s">
        <v>2257</v>
      </c>
      <c r="M36" s="7" t="s">
        <v>141</v>
      </c>
      <c r="N36" s="7" t="s">
        <v>2369</v>
      </c>
      <c r="O36" s="7" t="s">
        <v>2369</v>
      </c>
    </row>
    <row r="37" spans="1:15" ht="101.5" x14ac:dyDescent="0.35">
      <c r="A37" s="7" t="s">
        <v>2376</v>
      </c>
      <c r="B37" s="7" t="s">
        <v>2265</v>
      </c>
      <c r="C37" s="7" t="s">
        <v>2278</v>
      </c>
      <c r="D37" s="7" t="s">
        <v>251</v>
      </c>
      <c r="E37" s="7" t="s">
        <v>26</v>
      </c>
      <c r="F37" s="8" t="s">
        <v>252</v>
      </c>
      <c r="G37" s="8" t="s">
        <v>253</v>
      </c>
      <c r="H37" s="7" t="s">
        <v>2377</v>
      </c>
      <c r="I37" s="7" t="s">
        <v>2378</v>
      </c>
      <c r="J37" s="7" t="s">
        <v>256</v>
      </c>
      <c r="K37" s="7" t="s">
        <v>2258</v>
      </c>
      <c r="L37" s="7" t="s">
        <v>2257</v>
      </c>
      <c r="M37" s="7" t="s">
        <v>141</v>
      </c>
      <c r="N37" s="7" t="s">
        <v>239</v>
      </c>
      <c r="O37" s="7" t="s">
        <v>239</v>
      </c>
    </row>
    <row r="38" spans="1:15" ht="188.5" x14ac:dyDescent="0.35">
      <c r="A38" s="7" t="s">
        <v>2379</v>
      </c>
      <c r="B38" s="7" t="s">
        <v>2380</v>
      </c>
      <c r="C38" s="7" t="s">
        <v>2381</v>
      </c>
      <c r="D38" s="7" t="s">
        <v>261</v>
      </c>
      <c r="E38" s="7" t="s">
        <v>26</v>
      </c>
      <c r="F38" s="7" t="s">
        <v>2258</v>
      </c>
      <c r="G38" s="8" t="s">
        <v>2382</v>
      </c>
      <c r="H38" s="7" t="s">
        <v>2383</v>
      </c>
      <c r="I38" s="7" t="s">
        <v>256</v>
      </c>
      <c r="J38" s="7" t="s">
        <v>2258</v>
      </c>
      <c r="K38" s="7" t="s">
        <v>2258</v>
      </c>
      <c r="L38" s="7" t="s">
        <v>2257</v>
      </c>
      <c r="M38" s="7" t="s">
        <v>141</v>
      </c>
      <c r="N38" s="7" t="s">
        <v>239</v>
      </c>
      <c r="O38" s="7" t="s">
        <v>239</v>
      </c>
    </row>
    <row r="39" spans="1:15" ht="101.5" x14ac:dyDescent="0.35">
      <c r="A39" s="7" t="s">
        <v>268</v>
      </c>
      <c r="B39" s="7" t="s">
        <v>2384</v>
      </c>
      <c r="C39" s="7" t="s">
        <v>2385</v>
      </c>
      <c r="D39" s="7" t="s">
        <v>2386</v>
      </c>
      <c r="E39" s="7" t="s">
        <v>26</v>
      </c>
      <c r="F39" s="7" t="s">
        <v>2258</v>
      </c>
      <c r="G39" s="7" t="s">
        <v>2258</v>
      </c>
      <c r="H39" s="7">
        <f>880-2-9126294</f>
        <v>-9125416</v>
      </c>
      <c r="I39" s="7" t="s">
        <v>256</v>
      </c>
      <c r="J39" s="7" t="s">
        <v>2258</v>
      </c>
      <c r="K39" s="7" t="s">
        <v>2258</v>
      </c>
      <c r="L39" s="7" t="s">
        <v>2257</v>
      </c>
      <c r="M39" s="7" t="s">
        <v>141</v>
      </c>
      <c r="N39" s="7" t="s">
        <v>239</v>
      </c>
      <c r="O39" s="7" t="s">
        <v>239</v>
      </c>
    </row>
    <row r="40" spans="1:15" ht="116" x14ac:dyDescent="0.35">
      <c r="A40" s="7" t="s">
        <v>273</v>
      </c>
      <c r="B40" s="7" t="s">
        <v>2265</v>
      </c>
      <c r="C40" s="7" t="s">
        <v>2278</v>
      </c>
      <c r="D40" s="7" t="s">
        <v>2387</v>
      </c>
      <c r="E40" s="7" t="s">
        <v>26</v>
      </c>
      <c r="F40" s="8" t="s">
        <v>275</v>
      </c>
      <c r="G40" s="8" t="s">
        <v>2388</v>
      </c>
      <c r="H40" s="7">
        <f>880-2-44812101-8</f>
        <v>-44811231</v>
      </c>
      <c r="I40" s="7" t="s">
        <v>2378</v>
      </c>
      <c r="J40" s="7" t="s">
        <v>2258</v>
      </c>
      <c r="K40" s="7" t="s">
        <v>2258</v>
      </c>
      <c r="L40" s="7" t="s">
        <v>2257</v>
      </c>
      <c r="M40" s="7" t="s">
        <v>2258</v>
      </c>
      <c r="N40" s="7" t="s">
        <v>239</v>
      </c>
      <c r="O40" s="7" t="s">
        <v>239</v>
      </c>
    </row>
    <row r="41" spans="1:15" ht="130.5" x14ac:dyDescent="0.35">
      <c r="A41" s="7" t="s">
        <v>2389</v>
      </c>
      <c r="B41" s="7" t="s">
        <v>2390</v>
      </c>
      <c r="C41" s="7" t="s">
        <v>2391</v>
      </c>
      <c r="D41" s="7" t="s">
        <v>2392</v>
      </c>
      <c r="E41" s="7" t="s">
        <v>26</v>
      </c>
      <c r="F41" s="8" t="s">
        <v>2393</v>
      </c>
      <c r="G41" s="8" t="s">
        <v>289</v>
      </c>
      <c r="H41" s="7" t="s">
        <v>2394</v>
      </c>
      <c r="I41" s="7" t="s">
        <v>2378</v>
      </c>
      <c r="J41" s="7" t="s">
        <v>256</v>
      </c>
      <c r="K41" s="7" t="s">
        <v>2258</v>
      </c>
      <c r="L41" s="7" t="s">
        <v>2257</v>
      </c>
      <c r="M41" s="7" t="s">
        <v>141</v>
      </c>
      <c r="N41" s="7" t="s">
        <v>239</v>
      </c>
      <c r="O41" s="7" t="s">
        <v>239</v>
      </c>
    </row>
    <row r="42" spans="1:15" ht="159.5" x14ac:dyDescent="0.35">
      <c r="A42" s="7" t="s">
        <v>294</v>
      </c>
      <c r="B42" s="7" t="s">
        <v>2395</v>
      </c>
      <c r="C42" s="7" t="s">
        <v>2313</v>
      </c>
      <c r="D42" s="7" t="s">
        <v>295</v>
      </c>
      <c r="E42" s="7" t="s">
        <v>26</v>
      </c>
      <c r="F42" s="7" t="s">
        <v>2396</v>
      </c>
      <c r="G42" s="8" t="s">
        <v>2397</v>
      </c>
      <c r="H42" s="7">
        <v>1974349569</v>
      </c>
      <c r="I42" s="7" t="s">
        <v>2398</v>
      </c>
      <c r="J42" s="7" t="s">
        <v>140</v>
      </c>
      <c r="K42" s="7" t="s">
        <v>2399</v>
      </c>
      <c r="L42" s="7" t="s">
        <v>2257</v>
      </c>
      <c r="M42" s="7" t="s">
        <v>141</v>
      </c>
      <c r="N42" s="7" t="s">
        <v>239</v>
      </c>
      <c r="O42" s="7" t="s">
        <v>239</v>
      </c>
    </row>
    <row r="43" spans="1:15" ht="174" x14ac:dyDescent="0.35">
      <c r="A43" s="7" t="s">
        <v>2400</v>
      </c>
      <c r="B43" s="7" t="s">
        <v>2401</v>
      </c>
      <c r="C43" s="7" t="s">
        <v>2402</v>
      </c>
      <c r="D43" s="7" t="s">
        <v>2403</v>
      </c>
      <c r="E43" s="7" t="s">
        <v>26</v>
      </c>
      <c r="F43" s="7" t="s">
        <v>2404</v>
      </c>
      <c r="G43" s="7" t="s">
        <v>2405</v>
      </c>
      <c r="H43" s="7" t="s">
        <v>2406</v>
      </c>
      <c r="I43" s="7" t="s">
        <v>256</v>
      </c>
      <c r="J43" s="7" t="s">
        <v>2375</v>
      </c>
      <c r="K43" s="7" t="s">
        <v>2258</v>
      </c>
      <c r="L43" s="7" t="s">
        <v>2257</v>
      </c>
      <c r="M43" s="7" t="s">
        <v>141</v>
      </c>
      <c r="N43" s="7" t="s">
        <v>239</v>
      </c>
      <c r="O43" s="7" t="s">
        <v>239</v>
      </c>
    </row>
    <row r="44" spans="1:15" ht="101.5" x14ac:dyDescent="0.35">
      <c r="A44" s="7" t="s">
        <v>308</v>
      </c>
      <c r="B44" s="7" t="s">
        <v>2407</v>
      </c>
      <c r="C44" s="7" t="s">
        <v>2278</v>
      </c>
      <c r="D44" s="7" t="s">
        <v>309</v>
      </c>
      <c r="E44" s="7" t="s">
        <v>26</v>
      </c>
      <c r="F44" s="8" t="s">
        <v>310</v>
      </c>
      <c r="G44" s="8" t="s">
        <v>311</v>
      </c>
      <c r="H44" s="7" t="s">
        <v>2408</v>
      </c>
      <c r="I44" s="7" t="s">
        <v>2398</v>
      </c>
      <c r="J44" s="7" t="s">
        <v>256</v>
      </c>
      <c r="K44" s="7" t="s">
        <v>2258</v>
      </c>
      <c r="L44" s="7" t="s">
        <v>2257</v>
      </c>
      <c r="M44" s="7" t="s">
        <v>141</v>
      </c>
      <c r="N44" s="7" t="s">
        <v>239</v>
      </c>
      <c r="O44" s="7" t="s">
        <v>239</v>
      </c>
    </row>
    <row r="45" spans="1:15" ht="174" x14ac:dyDescent="0.35">
      <c r="A45" s="7" t="s">
        <v>2409</v>
      </c>
      <c r="B45" s="7" t="s">
        <v>2410</v>
      </c>
      <c r="C45" s="7" t="s">
        <v>2402</v>
      </c>
      <c r="D45" s="7" t="s">
        <v>2411</v>
      </c>
      <c r="E45" s="7" t="s">
        <v>26</v>
      </c>
      <c r="F45" s="8" t="s">
        <v>316</v>
      </c>
      <c r="G45" s="8" t="s">
        <v>317</v>
      </c>
      <c r="H45" s="7" t="s">
        <v>2412</v>
      </c>
      <c r="I45" s="7" t="s">
        <v>256</v>
      </c>
      <c r="J45" s="7" t="s">
        <v>2258</v>
      </c>
      <c r="K45" s="7" t="s">
        <v>2258</v>
      </c>
      <c r="L45" s="7" t="s">
        <v>2257</v>
      </c>
      <c r="M45" s="7" t="s">
        <v>141</v>
      </c>
      <c r="N45" s="7" t="s">
        <v>239</v>
      </c>
      <c r="O45" s="7" t="s">
        <v>239</v>
      </c>
    </row>
    <row r="46" spans="1:15" ht="275.5" x14ac:dyDescent="0.35">
      <c r="A46" s="7" t="s">
        <v>322</v>
      </c>
      <c r="B46" s="7" t="s">
        <v>2371</v>
      </c>
      <c r="C46" s="7" t="s">
        <v>2313</v>
      </c>
      <c r="D46" s="7" t="s">
        <v>2413</v>
      </c>
      <c r="E46" s="7" t="s">
        <v>26</v>
      </c>
      <c r="F46" s="8" t="s">
        <v>2414</v>
      </c>
      <c r="G46" s="8" t="s">
        <v>2414</v>
      </c>
      <c r="H46" s="7" t="s">
        <v>2415</v>
      </c>
      <c r="I46" s="7" t="s">
        <v>2398</v>
      </c>
      <c r="J46" s="7" t="s">
        <v>2416</v>
      </c>
      <c r="K46" s="7" t="s">
        <v>2258</v>
      </c>
      <c r="L46" s="7" t="s">
        <v>2257</v>
      </c>
      <c r="M46" s="7" t="s">
        <v>2258</v>
      </c>
      <c r="N46" s="7" t="s">
        <v>239</v>
      </c>
      <c r="O46" s="7" t="s">
        <v>239</v>
      </c>
    </row>
    <row r="47" spans="1:15" ht="101.5" x14ac:dyDescent="0.35">
      <c r="A47" s="7" t="s">
        <v>2417</v>
      </c>
      <c r="B47" s="7" t="s">
        <v>2418</v>
      </c>
      <c r="C47" s="7" t="s">
        <v>2419</v>
      </c>
      <c r="D47" s="7" t="s">
        <v>329</v>
      </c>
      <c r="E47" s="7" t="s">
        <v>26</v>
      </c>
      <c r="F47" s="8" t="s">
        <v>2420</v>
      </c>
      <c r="G47" s="7" t="s">
        <v>2258</v>
      </c>
      <c r="H47" s="7" t="s">
        <v>2421</v>
      </c>
      <c r="I47" s="7" t="s">
        <v>2398</v>
      </c>
      <c r="J47" s="7" t="s">
        <v>256</v>
      </c>
      <c r="K47" s="7" t="s">
        <v>2258</v>
      </c>
      <c r="L47" s="7" t="s">
        <v>2257</v>
      </c>
      <c r="M47" s="7" t="s">
        <v>141</v>
      </c>
      <c r="N47" s="7" t="s">
        <v>239</v>
      </c>
      <c r="O47" s="7" t="s">
        <v>239</v>
      </c>
    </row>
    <row r="48" spans="1:15" ht="116" x14ac:dyDescent="0.35">
      <c r="A48" s="7" t="s">
        <v>2422</v>
      </c>
      <c r="B48" s="7" t="s">
        <v>2265</v>
      </c>
      <c r="C48" s="7" t="s">
        <v>2278</v>
      </c>
      <c r="D48" s="7" t="s">
        <v>2423</v>
      </c>
      <c r="E48" s="7" t="s">
        <v>26</v>
      </c>
      <c r="F48" s="8" t="s">
        <v>334</v>
      </c>
      <c r="G48" s="8" t="s">
        <v>335</v>
      </c>
      <c r="H48" s="7" t="s">
        <v>2424</v>
      </c>
      <c r="I48" s="7" t="s">
        <v>2425</v>
      </c>
      <c r="J48" s="7" t="s">
        <v>2321</v>
      </c>
      <c r="K48" s="7" t="s">
        <v>2258</v>
      </c>
      <c r="L48" s="7" t="s">
        <v>2257</v>
      </c>
      <c r="M48" s="7" t="s">
        <v>2258</v>
      </c>
      <c r="N48" s="7" t="s">
        <v>239</v>
      </c>
      <c r="O48" s="7" t="s">
        <v>239</v>
      </c>
    </row>
    <row r="49" spans="1:15" ht="174" x14ac:dyDescent="0.35">
      <c r="A49" s="7" t="s">
        <v>2426</v>
      </c>
      <c r="B49" s="7" t="s">
        <v>2265</v>
      </c>
      <c r="C49" s="7" t="s">
        <v>2278</v>
      </c>
      <c r="D49" s="7" t="s">
        <v>2427</v>
      </c>
      <c r="E49" s="7" t="s">
        <v>26</v>
      </c>
      <c r="F49" s="8" t="s">
        <v>2428</v>
      </c>
      <c r="G49" s="8" t="s">
        <v>2429</v>
      </c>
      <c r="H49" s="7" t="s">
        <v>2430</v>
      </c>
      <c r="I49" s="7" t="s">
        <v>2378</v>
      </c>
      <c r="J49" s="7" t="s">
        <v>344</v>
      </c>
      <c r="K49" s="7" t="s">
        <v>2258</v>
      </c>
      <c r="L49" s="7" t="s">
        <v>2257</v>
      </c>
      <c r="M49" s="7" t="s">
        <v>141</v>
      </c>
      <c r="N49" s="7" t="s">
        <v>239</v>
      </c>
      <c r="O49" s="7" t="s">
        <v>239</v>
      </c>
    </row>
    <row r="50" spans="1:15" ht="87" x14ac:dyDescent="0.35">
      <c r="A50" s="7" t="s">
        <v>354</v>
      </c>
      <c r="B50" s="7" t="s">
        <v>2418</v>
      </c>
      <c r="C50" s="7" t="s">
        <v>2278</v>
      </c>
      <c r="D50" s="7" t="s">
        <v>348</v>
      </c>
      <c r="E50" s="7" t="s">
        <v>26</v>
      </c>
      <c r="F50" s="8" t="s">
        <v>349</v>
      </c>
      <c r="G50" s="8" t="s">
        <v>350</v>
      </c>
      <c r="H50" s="7" t="s">
        <v>2431</v>
      </c>
      <c r="I50" s="7" t="s">
        <v>2398</v>
      </c>
      <c r="J50" s="7" t="s">
        <v>140</v>
      </c>
      <c r="K50" s="7" t="s">
        <v>2258</v>
      </c>
      <c r="L50" s="7" t="s">
        <v>2257</v>
      </c>
      <c r="M50" s="7" t="s">
        <v>141</v>
      </c>
      <c r="N50" s="7" t="s">
        <v>239</v>
      </c>
      <c r="O50" s="7" t="s">
        <v>239</v>
      </c>
    </row>
    <row r="51" spans="1:15" ht="116" x14ac:dyDescent="0.35">
      <c r="A51" s="7" t="s">
        <v>355</v>
      </c>
      <c r="B51" s="7" t="s">
        <v>2432</v>
      </c>
      <c r="C51" s="7" t="s">
        <v>2433</v>
      </c>
      <c r="D51" s="7" t="s">
        <v>356</v>
      </c>
      <c r="E51" s="7" t="s">
        <v>26</v>
      </c>
      <c r="F51" s="8" t="s">
        <v>2434</v>
      </c>
      <c r="G51" s="8" t="s">
        <v>358</v>
      </c>
      <c r="H51" s="7" t="s">
        <v>2435</v>
      </c>
      <c r="I51" s="7" t="s">
        <v>2436</v>
      </c>
      <c r="J51" s="7" t="s">
        <v>2437</v>
      </c>
      <c r="K51" s="7" t="s">
        <v>2258</v>
      </c>
      <c r="L51" s="7" t="s">
        <v>2257</v>
      </c>
      <c r="M51" s="7" t="s">
        <v>2258</v>
      </c>
      <c r="N51" s="7" t="s">
        <v>239</v>
      </c>
      <c r="O51" s="7" t="s">
        <v>239</v>
      </c>
    </row>
    <row r="52" spans="1:15" ht="130.5" x14ac:dyDescent="0.35">
      <c r="A52" s="7" t="s">
        <v>2438</v>
      </c>
      <c r="B52" s="7" t="s">
        <v>2439</v>
      </c>
      <c r="C52" s="7" t="s">
        <v>2433</v>
      </c>
      <c r="D52" s="7" t="s">
        <v>2440</v>
      </c>
      <c r="E52" s="7" t="s">
        <v>26</v>
      </c>
      <c r="F52" s="8" t="s">
        <v>366</v>
      </c>
      <c r="G52" s="8" t="s">
        <v>2441</v>
      </c>
      <c r="H52" s="7" t="s">
        <v>2442</v>
      </c>
      <c r="I52" s="7" t="s">
        <v>2398</v>
      </c>
      <c r="J52" s="7" t="s">
        <v>2258</v>
      </c>
      <c r="K52" s="7" t="s">
        <v>2258</v>
      </c>
      <c r="L52" s="7" t="s">
        <v>2257</v>
      </c>
      <c r="M52" s="7" t="s">
        <v>2258</v>
      </c>
      <c r="N52" s="7" t="s">
        <v>239</v>
      </c>
      <c r="O52" s="7" t="s">
        <v>239</v>
      </c>
    </row>
    <row r="53" spans="1:15" ht="101.5" x14ac:dyDescent="0.35">
      <c r="A53" s="7" t="s">
        <v>371</v>
      </c>
      <c r="B53" s="7" t="s">
        <v>2265</v>
      </c>
      <c r="C53" s="7" t="s">
        <v>2278</v>
      </c>
      <c r="D53" s="7" t="s">
        <v>2443</v>
      </c>
      <c r="E53" s="7" t="s">
        <v>26</v>
      </c>
      <c r="F53" s="8" t="s">
        <v>373</v>
      </c>
      <c r="G53" s="8" t="s">
        <v>2444</v>
      </c>
      <c r="H53" s="7" t="s">
        <v>2445</v>
      </c>
      <c r="I53" s="7" t="s">
        <v>2446</v>
      </c>
      <c r="J53" s="7" t="s">
        <v>256</v>
      </c>
      <c r="K53" s="7" t="s">
        <v>2258</v>
      </c>
      <c r="L53" s="7" t="s">
        <v>2257</v>
      </c>
      <c r="M53" s="7" t="s">
        <v>141</v>
      </c>
      <c r="N53" s="7" t="s">
        <v>239</v>
      </c>
      <c r="O53" s="7" t="s">
        <v>239</v>
      </c>
    </row>
    <row r="54" spans="1:15" ht="130.5" x14ac:dyDescent="0.35">
      <c r="A54" s="7" t="s">
        <v>378</v>
      </c>
      <c r="B54" s="7" t="s">
        <v>2447</v>
      </c>
      <c r="C54" s="7" t="s">
        <v>2278</v>
      </c>
      <c r="D54" s="7" t="s">
        <v>2448</v>
      </c>
      <c r="E54" s="7" t="s">
        <v>26</v>
      </c>
      <c r="F54" s="8" t="s">
        <v>2449</v>
      </c>
      <c r="G54" s="8" t="s">
        <v>2450</v>
      </c>
      <c r="H54" s="7">
        <v>9610009625</v>
      </c>
      <c r="I54" s="7" t="s">
        <v>2398</v>
      </c>
      <c r="J54" s="7" t="s">
        <v>140</v>
      </c>
      <c r="K54" s="7" t="s">
        <v>2258</v>
      </c>
      <c r="L54" s="7" t="s">
        <v>2257</v>
      </c>
      <c r="M54" s="7" t="s">
        <v>141</v>
      </c>
      <c r="N54" s="7" t="s">
        <v>239</v>
      </c>
      <c r="O54" s="7" t="s">
        <v>239</v>
      </c>
    </row>
    <row r="55" spans="1:15" ht="145" x14ac:dyDescent="0.35">
      <c r="A55" s="7" t="s">
        <v>385</v>
      </c>
      <c r="B55" s="7" t="s">
        <v>2451</v>
      </c>
      <c r="C55" s="7" t="s">
        <v>2278</v>
      </c>
      <c r="D55" s="7" t="s">
        <v>386</v>
      </c>
      <c r="E55" s="7" t="s">
        <v>26</v>
      </c>
      <c r="F55" s="8" t="s">
        <v>2452</v>
      </c>
      <c r="G55" s="8" t="s">
        <v>2450</v>
      </c>
      <c r="H55" s="7" t="s">
        <v>2453</v>
      </c>
      <c r="I55" s="7" t="s">
        <v>2398</v>
      </c>
      <c r="J55" s="7" t="s">
        <v>140</v>
      </c>
      <c r="K55" s="7" t="s">
        <v>2258</v>
      </c>
      <c r="L55" s="7" t="s">
        <v>2257</v>
      </c>
      <c r="M55" s="7" t="s">
        <v>141</v>
      </c>
      <c r="N55" s="7" t="s">
        <v>239</v>
      </c>
      <c r="O55" s="7" t="s">
        <v>239</v>
      </c>
    </row>
    <row r="56" spans="1:15" ht="116" x14ac:dyDescent="0.35">
      <c r="A56" s="7" t="s">
        <v>2454</v>
      </c>
      <c r="B56" s="7" t="s">
        <v>2451</v>
      </c>
      <c r="C56" s="7" t="s">
        <v>2278</v>
      </c>
      <c r="D56" s="7" t="s">
        <v>389</v>
      </c>
      <c r="E56" s="7" t="s">
        <v>26</v>
      </c>
      <c r="F56" s="8" t="s">
        <v>2452</v>
      </c>
      <c r="G56" s="8" t="s">
        <v>2450</v>
      </c>
      <c r="H56" s="7" t="s">
        <v>2455</v>
      </c>
      <c r="I56" s="7" t="s">
        <v>2398</v>
      </c>
      <c r="J56" s="7" t="s">
        <v>140</v>
      </c>
      <c r="K56" s="7" t="s">
        <v>2258</v>
      </c>
      <c r="L56" s="7" t="s">
        <v>2257</v>
      </c>
      <c r="M56" s="7" t="s">
        <v>141</v>
      </c>
      <c r="N56" s="7" t="s">
        <v>239</v>
      </c>
      <c r="O56" s="7" t="s">
        <v>239</v>
      </c>
    </row>
    <row r="57" spans="1:15" ht="159.5" x14ac:dyDescent="0.35">
      <c r="A57" s="7" t="s">
        <v>2456</v>
      </c>
      <c r="B57" s="7" t="s">
        <v>2323</v>
      </c>
      <c r="C57" s="7" t="s">
        <v>2313</v>
      </c>
      <c r="D57" s="7" t="s">
        <v>2457</v>
      </c>
      <c r="E57" s="7" t="s">
        <v>26</v>
      </c>
      <c r="F57" s="8" t="s">
        <v>397</v>
      </c>
      <c r="G57" s="8" t="s">
        <v>398</v>
      </c>
      <c r="H57" s="7">
        <f>880-1977-72215</f>
        <v>-73312</v>
      </c>
      <c r="I57" s="7" t="s">
        <v>2458</v>
      </c>
      <c r="J57" s="7" t="s">
        <v>2459</v>
      </c>
      <c r="K57" s="7" t="s">
        <v>2258</v>
      </c>
      <c r="L57" s="7" t="s">
        <v>2257</v>
      </c>
      <c r="M57" s="7" t="s">
        <v>2258</v>
      </c>
      <c r="N57" s="7" t="s">
        <v>239</v>
      </c>
      <c r="O57" s="7" t="s">
        <v>239</v>
      </c>
    </row>
    <row r="58" spans="1:15" ht="130.5" x14ac:dyDescent="0.35">
      <c r="A58" s="7" t="s">
        <v>2460</v>
      </c>
      <c r="B58" s="7" t="s">
        <v>2461</v>
      </c>
      <c r="C58" s="7" t="s">
        <v>2462</v>
      </c>
      <c r="D58" s="7" t="s">
        <v>405</v>
      </c>
      <c r="E58" s="7" t="s">
        <v>26</v>
      </c>
      <c r="F58" s="7" t="s">
        <v>2463</v>
      </c>
      <c r="G58" s="8" t="s">
        <v>2464</v>
      </c>
      <c r="H58" s="7" t="s">
        <v>2465</v>
      </c>
      <c r="I58" s="7" t="s">
        <v>2466</v>
      </c>
      <c r="J58" s="7" t="s">
        <v>2467</v>
      </c>
      <c r="K58" s="7" t="s">
        <v>2258</v>
      </c>
      <c r="L58" s="7" t="s">
        <v>2257</v>
      </c>
      <c r="M58" s="7" t="s">
        <v>141</v>
      </c>
      <c r="N58" s="7" t="s">
        <v>239</v>
      </c>
      <c r="O58" s="7" t="s">
        <v>239</v>
      </c>
    </row>
    <row r="59" spans="1:15" ht="232" x14ac:dyDescent="0.35">
      <c r="A59" s="7" t="s">
        <v>411</v>
      </c>
      <c r="B59" s="7" t="s">
        <v>2468</v>
      </c>
      <c r="C59" s="7" t="s">
        <v>2469</v>
      </c>
      <c r="D59" s="7" t="s">
        <v>2258</v>
      </c>
      <c r="E59" s="7" t="s">
        <v>26</v>
      </c>
      <c r="F59" s="8" t="s">
        <v>413</v>
      </c>
      <c r="G59" s="8" t="s">
        <v>2470</v>
      </c>
      <c r="H59" s="7" t="s">
        <v>2471</v>
      </c>
      <c r="I59" s="7" t="s">
        <v>2472</v>
      </c>
      <c r="J59" s="7" t="s">
        <v>256</v>
      </c>
      <c r="K59" s="7" t="s">
        <v>2258</v>
      </c>
      <c r="L59" s="7" t="s">
        <v>2257</v>
      </c>
      <c r="M59" s="7" t="s">
        <v>141</v>
      </c>
      <c r="N59" s="7" t="s">
        <v>239</v>
      </c>
      <c r="O59" s="7" t="s">
        <v>239</v>
      </c>
    </row>
    <row r="60" spans="1:15" ht="116" x14ac:dyDescent="0.35">
      <c r="A60" s="7" t="s">
        <v>2473</v>
      </c>
      <c r="B60" s="7" t="s">
        <v>2407</v>
      </c>
      <c r="C60" s="7" t="s">
        <v>2474</v>
      </c>
      <c r="D60" s="7" t="s">
        <v>419</v>
      </c>
      <c r="E60" s="7" t="s">
        <v>26</v>
      </c>
      <c r="F60" s="8" t="s">
        <v>2475</v>
      </c>
      <c r="G60" s="8" t="s">
        <v>421</v>
      </c>
      <c r="H60" s="7" t="s">
        <v>2476</v>
      </c>
      <c r="I60" s="7" t="s">
        <v>2378</v>
      </c>
      <c r="J60" s="7" t="s">
        <v>256</v>
      </c>
      <c r="K60" s="7" t="s">
        <v>2258</v>
      </c>
      <c r="L60" s="7" t="s">
        <v>2257</v>
      </c>
      <c r="M60" s="7" t="s">
        <v>141</v>
      </c>
      <c r="N60" s="7" t="s">
        <v>239</v>
      </c>
      <c r="O60" s="7" t="s">
        <v>239</v>
      </c>
    </row>
    <row r="61" spans="1:15" ht="159.5" x14ac:dyDescent="0.35">
      <c r="A61" s="7" t="s">
        <v>426</v>
      </c>
      <c r="B61" s="7" t="s">
        <v>2477</v>
      </c>
      <c r="C61" s="7" t="s">
        <v>2278</v>
      </c>
      <c r="D61" s="7" t="s">
        <v>2478</v>
      </c>
      <c r="E61" s="7" t="s">
        <v>26</v>
      </c>
      <c r="F61" s="7" t="s">
        <v>2479</v>
      </c>
      <c r="G61" s="7" t="s">
        <v>2258</v>
      </c>
      <c r="H61" s="7" t="s">
        <v>2480</v>
      </c>
      <c r="I61" s="7" t="s">
        <v>256</v>
      </c>
      <c r="J61" s="7" t="s">
        <v>2258</v>
      </c>
      <c r="K61" s="7" t="s">
        <v>2258</v>
      </c>
      <c r="L61" s="7" t="s">
        <v>2257</v>
      </c>
      <c r="M61" s="7" t="s">
        <v>141</v>
      </c>
      <c r="N61" s="7" t="s">
        <v>239</v>
      </c>
      <c r="O61" s="7" t="s">
        <v>239</v>
      </c>
    </row>
    <row r="62" spans="1:15" ht="101.5" x14ac:dyDescent="0.35">
      <c r="A62" s="7" t="s">
        <v>431</v>
      </c>
      <c r="B62" s="7" t="s">
        <v>2477</v>
      </c>
      <c r="C62" s="7" t="s">
        <v>2278</v>
      </c>
      <c r="D62" s="7" t="s">
        <v>432</v>
      </c>
      <c r="E62" s="7" t="s">
        <v>26</v>
      </c>
      <c r="F62" s="8" t="s">
        <v>2475</v>
      </c>
      <c r="G62" s="8" t="s">
        <v>421</v>
      </c>
      <c r="H62" s="7" t="s">
        <v>2481</v>
      </c>
      <c r="I62" s="7" t="s">
        <v>2466</v>
      </c>
      <c r="J62" s="7" t="s">
        <v>256</v>
      </c>
      <c r="K62" s="7" t="s">
        <v>2258</v>
      </c>
      <c r="L62" s="7" t="s">
        <v>2257</v>
      </c>
      <c r="M62" s="7" t="s">
        <v>141</v>
      </c>
      <c r="N62" s="7" t="s">
        <v>239</v>
      </c>
      <c r="O62" s="7" t="s">
        <v>239</v>
      </c>
    </row>
    <row r="63" spans="1:15" ht="101.5" x14ac:dyDescent="0.35">
      <c r="A63" s="7" t="s">
        <v>436</v>
      </c>
      <c r="B63" s="7" t="s">
        <v>2477</v>
      </c>
      <c r="C63" s="7" t="s">
        <v>2278</v>
      </c>
      <c r="D63" s="7" t="s">
        <v>437</v>
      </c>
      <c r="E63" s="7" t="s">
        <v>26</v>
      </c>
      <c r="F63" s="8" t="s">
        <v>2475</v>
      </c>
      <c r="G63" s="8" t="s">
        <v>421</v>
      </c>
      <c r="H63" s="7" t="s">
        <v>2482</v>
      </c>
      <c r="I63" s="7" t="s">
        <v>2466</v>
      </c>
      <c r="J63" s="7" t="s">
        <v>256</v>
      </c>
      <c r="K63" s="7" t="s">
        <v>2258</v>
      </c>
      <c r="L63" s="7" t="s">
        <v>2257</v>
      </c>
      <c r="M63" s="7" t="s">
        <v>141</v>
      </c>
      <c r="N63" s="7" t="s">
        <v>239</v>
      </c>
      <c r="O63" s="7" t="s">
        <v>239</v>
      </c>
    </row>
    <row r="64" spans="1:15" ht="87" x14ac:dyDescent="0.35">
      <c r="A64" s="7" t="s">
        <v>439</v>
      </c>
      <c r="B64" s="7" t="s">
        <v>2477</v>
      </c>
      <c r="C64" s="7" t="s">
        <v>2278</v>
      </c>
      <c r="D64" s="7" t="s">
        <v>2483</v>
      </c>
      <c r="E64" s="7" t="s">
        <v>26</v>
      </c>
      <c r="F64" s="8" t="s">
        <v>2475</v>
      </c>
      <c r="G64" s="8" t="s">
        <v>421</v>
      </c>
      <c r="H64" s="7" t="s">
        <v>2484</v>
      </c>
      <c r="I64" s="7" t="s">
        <v>2466</v>
      </c>
      <c r="J64" s="7" t="s">
        <v>256</v>
      </c>
      <c r="K64" s="7" t="s">
        <v>2258</v>
      </c>
      <c r="L64" s="7" t="s">
        <v>2257</v>
      </c>
      <c r="M64" s="7" t="s">
        <v>141</v>
      </c>
      <c r="N64" s="7" t="s">
        <v>239</v>
      </c>
      <c r="O64" s="7" t="s">
        <v>239</v>
      </c>
    </row>
    <row r="65" spans="1:15" ht="116" x14ac:dyDescent="0.35">
      <c r="A65" s="7" t="s">
        <v>444</v>
      </c>
      <c r="B65" s="7" t="s">
        <v>2418</v>
      </c>
      <c r="C65" s="7" t="s">
        <v>2474</v>
      </c>
      <c r="D65" s="7" t="s">
        <v>2485</v>
      </c>
      <c r="E65" s="7" t="s">
        <v>26</v>
      </c>
      <c r="F65" s="8" t="s">
        <v>2486</v>
      </c>
      <c r="G65" s="8" t="s">
        <v>2487</v>
      </c>
      <c r="H65" s="7" t="s">
        <v>2488</v>
      </c>
      <c r="I65" s="7" t="s">
        <v>256</v>
      </c>
      <c r="J65" s="7" t="s">
        <v>2258</v>
      </c>
      <c r="K65" s="7" t="s">
        <v>2258</v>
      </c>
      <c r="L65" s="7" t="s">
        <v>2257</v>
      </c>
      <c r="M65" s="7" t="s">
        <v>141</v>
      </c>
      <c r="N65" s="7" t="s">
        <v>239</v>
      </c>
      <c r="O65" s="7" t="s">
        <v>239</v>
      </c>
    </row>
    <row r="66" spans="1:15" ht="145" x14ac:dyDescent="0.35">
      <c r="A66" s="7" t="s">
        <v>450</v>
      </c>
      <c r="B66" s="7" t="s">
        <v>2489</v>
      </c>
      <c r="C66" s="7" t="s">
        <v>2490</v>
      </c>
      <c r="D66" s="7" t="s">
        <v>451</v>
      </c>
      <c r="E66" s="7" t="s">
        <v>26</v>
      </c>
      <c r="F66" s="8" t="s">
        <v>2491</v>
      </c>
      <c r="G66" s="7" t="s">
        <v>2258</v>
      </c>
      <c r="H66" s="7" t="s">
        <v>2492</v>
      </c>
      <c r="I66" s="7" t="s">
        <v>2378</v>
      </c>
      <c r="J66" s="7" t="s">
        <v>256</v>
      </c>
      <c r="K66" s="7" t="s">
        <v>2258</v>
      </c>
      <c r="L66" s="7" t="s">
        <v>2257</v>
      </c>
      <c r="M66" s="7" t="s">
        <v>141</v>
      </c>
      <c r="N66" s="7" t="s">
        <v>239</v>
      </c>
      <c r="O66" s="7" t="s">
        <v>239</v>
      </c>
    </row>
    <row r="67" spans="1:15" ht="116" x14ac:dyDescent="0.35">
      <c r="A67" s="7" t="s">
        <v>456</v>
      </c>
      <c r="B67" s="7" t="s">
        <v>2407</v>
      </c>
      <c r="C67" s="7" t="s">
        <v>2278</v>
      </c>
      <c r="D67" s="7" t="s">
        <v>457</v>
      </c>
      <c r="E67" s="7" t="s">
        <v>26</v>
      </c>
      <c r="F67" s="8" t="s">
        <v>2493</v>
      </c>
      <c r="G67" s="7" t="s">
        <v>2494</v>
      </c>
      <c r="H67" s="7" t="s">
        <v>2495</v>
      </c>
      <c r="I67" s="7" t="s">
        <v>2378</v>
      </c>
      <c r="J67" s="7" t="s">
        <v>256</v>
      </c>
      <c r="K67" s="7" t="s">
        <v>2258</v>
      </c>
      <c r="L67" s="7" t="s">
        <v>2257</v>
      </c>
      <c r="M67" s="7" t="s">
        <v>141</v>
      </c>
      <c r="N67" s="7" t="s">
        <v>239</v>
      </c>
      <c r="O67" s="7" t="s">
        <v>239</v>
      </c>
    </row>
    <row r="68" spans="1:15" ht="101.5" x14ac:dyDescent="0.35">
      <c r="A68" s="7" t="s">
        <v>2496</v>
      </c>
      <c r="B68" s="7" t="s">
        <v>2350</v>
      </c>
      <c r="C68" s="7" t="s">
        <v>2497</v>
      </c>
      <c r="D68" s="7" t="s">
        <v>2498</v>
      </c>
      <c r="E68" s="7" t="s">
        <v>26</v>
      </c>
      <c r="F68" s="7" t="s">
        <v>2258</v>
      </c>
      <c r="G68" s="8" t="s">
        <v>2499</v>
      </c>
      <c r="H68" s="7" t="s">
        <v>2500</v>
      </c>
      <c r="I68" s="7" t="s">
        <v>256</v>
      </c>
      <c r="J68" s="7" t="s">
        <v>2258</v>
      </c>
      <c r="K68" s="7" t="s">
        <v>2258</v>
      </c>
      <c r="L68" s="7" t="s">
        <v>2257</v>
      </c>
      <c r="M68" s="7" t="s">
        <v>141</v>
      </c>
      <c r="N68" s="7" t="s">
        <v>239</v>
      </c>
      <c r="O68" s="7" t="s">
        <v>239</v>
      </c>
    </row>
    <row r="69" spans="1:15" ht="116" x14ac:dyDescent="0.35">
      <c r="A69" s="7" t="s">
        <v>467</v>
      </c>
      <c r="B69" s="7" t="s">
        <v>2350</v>
      </c>
      <c r="C69" s="7" t="s">
        <v>2419</v>
      </c>
      <c r="D69" s="7" t="s">
        <v>468</v>
      </c>
      <c r="E69" s="7" t="s">
        <v>26</v>
      </c>
      <c r="F69" s="7" t="s">
        <v>2258</v>
      </c>
      <c r="G69" s="8" t="s">
        <v>2501</v>
      </c>
      <c r="H69" s="7" t="s">
        <v>2502</v>
      </c>
      <c r="I69" s="7" t="s">
        <v>2466</v>
      </c>
      <c r="J69" s="7" t="s">
        <v>256</v>
      </c>
      <c r="K69" s="7" t="s">
        <v>2258</v>
      </c>
      <c r="L69" s="7" t="s">
        <v>2257</v>
      </c>
      <c r="M69" s="7" t="s">
        <v>141</v>
      </c>
      <c r="N69" s="7" t="s">
        <v>239</v>
      </c>
      <c r="O69" s="7" t="s">
        <v>239</v>
      </c>
    </row>
    <row r="70" spans="1:15" ht="101.5" x14ac:dyDescent="0.35">
      <c r="A70" s="7" t="s">
        <v>2503</v>
      </c>
      <c r="B70" s="7" t="s">
        <v>2371</v>
      </c>
      <c r="C70" s="7" t="s">
        <v>2278</v>
      </c>
      <c r="D70" s="7" t="s">
        <v>2504</v>
      </c>
      <c r="E70" s="7" t="s">
        <v>26</v>
      </c>
      <c r="F70" s="7" t="s">
        <v>2258</v>
      </c>
      <c r="G70" s="8" t="s">
        <v>2505</v>
      </c>
      <c r="H70" s="7" t="s">
        <v>2506</v>
      </c>
      <c r="I70" s="7" t="s">
        <v>2507</v>
      </c>
      <c r="J70" s="7" t="s">
        <v>2508</v>
      </c>
      <c r="K70" s="7" t="s">
        <v>2258</v>
      </c>
      <c r="L70" s="7" t="s">
        <v>2257</v>
      </c>
      <c r="M70" s="7" t="s">
        <v>2258</v>
      </c>
      <c r="N70" s="7" t="s">
        <v>239</v>
      </c>
      <c r="O70" s="7" t="s">
        <v>239</v>
      </c>
    </row>
    <row r="71" spans="1:15" ht="116" x14ac:dyDescent="0.35">
      <c r="A71" s="7" t="s">
        <v>481</v>
      </c>
      <c r="B71" s="7" t="s">
        <v>2364</v>
      </c>
      <c r="C71" s="7" t="s">
        <v>2509</v>
      </c>
      <c r="D71" s="7" t="s">
        <v>483</v>
      </c>
      <c r="E71" s="7" t="s">
        <v>26</v>
      </c>
      <c r="F71" s="8" t="s">
        <v>2510</v>
      </c>
      <c r="G71" s="8" t="s">
        <v>2511</v>
      </c>
      <c r="H71" s="7" t="s">
        <v>2512</v>
      </c>
      <c r="I71" s="7" t="s">
        <v>2466</v>
      </c>
      <c r="J71" s="7" t="s">
        <v>140</v>
      </c>
      <c r="K71" s="7" t="s">
        <v>2258</v>
      </c>
      <c r="L71" s="7" t="s">
        <v>2257</v>
      </c>
      <c r="M71" s="7" t="s">
        <v>141</v>
      </c>
      <c r="N71" s="7" t="s">
        <v>239</v>
      </c>
      <c r="O71" s="7" t="s">
        <v>239</v>
      </c>
    </row>
    <row r="72" spans="1:15" ht="145" x14ac:dyDescent="0.35">
      <c r="A72" s="7" t="s">
        <v>488</v>
      </c>
      <c r="B72" s="7" t="s">
        <v>2371</v>
      </c>
      <c r="C72" s="7" t="s">
        <v>2513</v>
      </c>
      <c r="D72" s="7" t="s">
        <v>2514</v>
      </c>
      <c r="E72" s="7" t="s">
        <v>26</v>
      </c>
      <c r="F72" s="8" t="s">
        <v>2515</v>
      </c>
      <c r="G72" s="8" t="s">
        <v>490</v>
      </c>
      <c r="H72" s="7" t="s">
        <v>2516</v>
      </c>
      <c r="I72" s="7" t="s">
        <v>2466</v>
      </c>
      <c r="J72" s="7" t="s">
        <v>140</v>
      </c>
      <c r="K72" s="7" t="s">
        <v>2258</v>
      </c>
      <c r="L72" s="7" t="s">
        <v>2257</v>
      </c>
      <c r="M72" s="7" t="s">
        <v>141</v>
      </c>
      <c r="N72" s="7" t="s">
        <v>239</v>
      </c>
      <c r="O72" s="7" t="s">
        <v>239</v>
      </c>
    </row>
    <row r="73" spans="1:15" ht="130.5" x14ac:dyDescent="0.35">
      <c r="A73" s="7" t="s">
        <v>2517</v>
      </c>
      <c r="B73" s="7" t="s">
        <v>2364</v>
      </c>
      <c r="C73" s="7" t="s">
        <v>2518</v>
      </c>
      <c r="D73" s="7" t="s">
        <v>493</v>
      </c>
      <c r="E73" s="7" t="s">
        <v>26</v>
      </c>
      <c r="F73" s="7" t="s">
        <v>2258</v>
      </c>
      <c r="G73" s="7" t="s">
        <v>2519</v>
      </c>
      <c r="H73" s="7">
        <v>197198037</v>
      </c>
      <c r="I73" s="7" t="s">
        <v>2466</v>
      </c>
      <c r="J73" s="7" t="s">
        <v>140</v>
      </c>
      <c r="K73" s="7" t="s">
        <v>2258</v>
      </c>
      <c r="L73" s="7" t="s">
        <v>2257</v>
      </c>
      <c r="M73" s="7" t="s">
        <v>141</v>
      </c>
      <c r="N73" s="7" t="s">
        <v>239</v>
      </c>
      <c r="O73" s="7" t="s">
        <v>239</v>
      </c>
    </row>
    <row r="74" spans="1:15" ht="116" x14ac:dyDescent="0.35">
      <c r="A74" s="7" t="s">
        <v>2520</v>
      </c>
      <c r="B74" s="7" t="s">
        <v>2350</v>
      </c>
      <c r="C74" s="7" t="s">
        <v>2521</v>
      </c>
      <c r="D74" s="7" t="s">
        <v>2522</v>
      </c>
      <c r="E74" s="7" t="s">
        <v>26</v>
      </c>
      <c r="F74" s="8" t="s">
        <v>2523</v>
      </c>
      <c r="G74" s="8" t="s">
        <v>501</v>
      </c>
      <c r="H74" s="7" t="s">
        <v>2524</v>
      </c>
      <c r="I74" s="7" t="s">
        <v>2466</v>
      </c>
      <c r="J74" s="7" t="s">
        <v>140</v>
      </c>
      <c r="K74" s="7" t="s">
        <v>2258</v>
      </c>
      <c r="L74" s="7" t="s">
        <v>2257</v>
      </c>
      <c r="M74" s="7" t="s">
        <v>141</v>
      </c>
      <c r="N74" s="7" t="s">
        <v>239</v>
      </c>
      <c r="O74" s="7" t="s">
        <v>239</v>
      </c>
    </row>
    <row r="75" spans="1:15" ht="87" x14ac:dyDescent="0.35">
      <c r="A75" s="7" t="s">
        <v>2525</v>
      </c>
      <c r="B75" s="7" t="s">
        <v>2526</v>
      </c>
      <c r="C75" s="7" t="s">
        <v>2278</v>
      </c>
      <c r="D75" s="7" t="s">
        <v>505</v>
      </c>
      <c r="E75" s="7" t="s">
        <v>26</v>
      </c>
      <c r="F75" s="8" t="s">
        <v>2527</v>
      </c>
      <c r="G75" s="8" t="s">
        <v>506</v>
      </c>
      <c r="H75" s="7" t="s">
        <v>2528</v>
      </c>
      <c r="I75" s="7" t="s">
        <v>2378</v>
      </c>
      <c r="J75" s="7" t="s">
        <v>256</v>
      </c>
      <c r="K75" s="7" t="s">
        <v>2258</v>
      </c>
      <c r="L75" s="7" t="s">
        <v>2257</v>
      </c>
      <c r="M75" s="7" t="s">
        <v>141</v>
      </c>
      <c r="N75" s="7" t="s">
        <v>239</v>
      </c>
      <c r="O75" s="7" t="s">
        <v>239</v>
      </c>
    </row>
    <row r="76" spans="1:15" ht="174" x14ac:dyDescent="0.35">
      <c r="A76" s="7" t="s">
        <v>511</v>
      </c>
      <c r="B76" s="7" t="s">
        <v>2529</v>
      </c>
      <c r="C76" s="7" t="s">
        <v>2530</v>
      </c>
      <c r="D76" s="7" t="s">
        <v>513</v>
      </c>
      <c r="E76" s="7" t="s">
        <v>26</v>
      </c>
      <c r="F76" s="7" t="s">
        <v>2531</v>
      </c>
      <c r="G76" s="7" t="s">
        <v>2531</v>
      </c>
      <c r="H76" s="7">
        <v>9613106010</v>
      </c>
      <c r="I76" s="7" t="s">
        <v>2532</v>
      </c>
      <c r="J76" s="7" t="s">
        <v>2533</v>
      </c>
      <c r="K76" s="7" t="s">
        <v>2534</v>
      </c>
      <c r="L76" s="7" t="s">
        <v>2257</v>
      </c>
      <c r="M76" s="7" t="s">
        <v>2258</v>
      </c>
      <c r="N76" s="7" t="s">
        <v>239</v>
      </c>
      <c r="O76" s="7" t="s">
        <v>239</v>
      </c>
    </row>
    <row r="77" spans="1:15" ht="159.5" x14ac:dyDescent="0.35">
      <c r="A77" s="7" t="s">
        <v>519</v>
      </c>
      <c r="B77" s="7" t="s">
        <v>2323</v>
      </c>
      <c r="C77" s="7" t="s">
        <v>2535</v>
      </c>
      <c r="D77" s="7" t="s">
        <v>520</v>
      </c>
      <c r="E77" s="7" t="s">
        <v>26</v>
      </c>
      <c r="F77" s="7" t="s">
        <v>2536</v>
      </c>
      <c r="G77" s="8" t="s">
        <v>2537</v>
      </c>
      <c r="H77" s="7" t="s">
        <v>2538</v>
      </c>
      <c r="I77" s="7" t="s">
        <v>2458</v>
      </c>
      <c r="J77" s="7" t="s">
        <v>2539</v>
      </c>
      <c r="K77" s="7" t="s">
        <v>2258</v>
      </c>
      <c r="L77" s="7" t="s">
        <v>2257</v>
      </c>
      <c r="M77" s="7" t="s">
        <v>2258</v>
      </c>
      <c r="N77" s="7" t="s">
        <v>239</v>
      </c>
      <c r="O77" s="7" t="s">
        <v>239</v>
      </c>
    </row>
    <row r="78" spans="1:15" ht="116" x14ac:dyDescent="0.35">
      <c r="A78" s="7" t="s">
        <v>2540</v>
      </c>
      <c r="B78" s="7" t="s">
        <v>2541</v>
      </c>
      <c r="C78" s="7" t="s">
        <v>2372</v>
      </c>
      <c r="D78" s="7" t="s">
        <v>537</v>
      </c>
      <c r="E78" s="7" t="s">
        <v>26</v>
      </c>
      <c r="F78" s="7" t="s">
        <v>2258</v>
      </c>
      <c r="G78" s="7" t="s">
        <v>2258</v>
      </c>
      <c r="H78" s="7">
        <v>1713333234</v>
      </c>
      <c r="I78" s="7" t="s">
        <v>2542</v>
      </c>
      <c r="J78" s="7" t="s">
        <v>2543</v>
      </c>
      <c r="K78" s="7" t="s">
        <v>2258</v>
      </c>
      <c r="L78" s="7" t="s">
        <v>2257</v>
      </c>
      <c r="M78" s="7" t="s">
        <v>2258</v>
      </c>
      <c r="N78" s="7" t="s">
        <v>239</v>
      </c>
      <c r="O78" s="7" t="s">
        <v>239</v>
      </c>
    </row>
    <row r="79" spans="1:15" ht="101.5" x14ac:dyDescent="0.35">
      <c r="A79" s="7" t="s">
        <v>526</v>
      </c>
      <c r="B79" s="7" t="s">
        <v>2407</v>
      </c>
      <c r="C79" s="7" t="s">
        <v>2497</v>
      </c>
      <c r="D79" s="7" t="s">
        <v>2544</v>
      </c>
      <c r="E79" s="7" t="s">
        <v>26</v>
      </c>
      <c r="F79" s="7" t="s">
        <v>2258</v>
      </c>
      <c r="G79" s="7" t="s">
        <v>2258</v>
      </c>
      <c r="H79" s="7" t="s">
        <v>2545</v>
      </c>
      <c r="I79" s="7" t="s">
        <v>2378</v>
      </c>
      <c r="J79" s="7" t="s">
        <v>256</v>
      </c>
      <c r="K79" s="7" t="s">
        <v>2258</v>
      </c>
      <c r="L79" s="7" t="s">
        <v>2257</v>
      </c>
      <c r="M79" s="7" t="s">
        <v>141</v>
      </c>
      <c r="N79" s="7" t="s">
        <v>239</v>
      </c>
      <c r="O79" s="7" t="s">
        <v>239</v>
      </c>
    </row>
    <row r="80" spans="1:15" ht="174" x14ac:dyDescent="0.35">
      <c r="A80" s="7" t="s">
        <v>2546</v>
      </c>
      <c r="B80" s="7" t="s">
        <v>2547</v>
      </c>
      <c r="C80" s="7" t="s">
        <v>2402</v>
      </c>
      <c r="D80" s="7" t="s">
        <v>531</v>
      </c>
      <c r="E80" s="7" t="s">
        <v>26</v>
      </c>
      <c r="F80" s="8" t="s">
        <v>2548</v>
      </c>
      <c r="G80" s="7" t="s">
        <v>2258</v>
      </c>
      <c r="H80" s="7" t="s">
        <v>2549</v>
      </c>
      <c r="I80" s="7" t="s">
        <v>2466</v>
      </c>
      <c r="J80" s="7" t="s">
        <v>140</v>
      </c>
      <c r="K80" s="7" t="s">
        <v>2258</v>
      </c>
      <c r="L80" s="7" t="s">
        <v>2257</v>
      </c>
      <c r="M80" s="7" t="s">
        <v>141</v>
      </c>
      <c r="N80" s="7" t="s">
        <v>239</v>
      </c>
      <c r="O80" s="7" t="s">
        <v>239</v>
      </c>
    </row>
    <row r="81" spans="1:15" ht="116" x14ac:dyDescent="0.35">
      <c r="A81" s="7" t="s">
        <v>549</v>
      </c>
      <c r="B81" s="7" t="s">
        <v>2350</v>
      </c>
      <c r="C81" s="7" t="s">
        <v>2372</v>
      </c>
      <c r="D81" s="7" t="s">
        <v>2550</v>
      </c>
      <c r="E81" s="7" t="s">
        <v>26</v>
      </c>
      <c r="F81" s="8" t="s">
        <v>2551</v>
      </c>
      <c r="G81" s="8" t="s">
        <v>544</v>
      </c>
      <c r="H81" s="7">
        <f>8801777-772764</f>
        <v>8029013</v>
      </c>
      <c r="I81" s="7" t="s">
        <v>2552</v>
      </c>
      <c r="J81" s="7" t="s">
        <v>2553</v>
      </c>
      <c r="K81" s="7" t="s">
        <v>2258</v>
      </c>
      <c r="L81" s="7" t="s">
        <v>2257</v>
      </c>
      <c r="M81" s="7" t="s">
        <v>2258</v>
      </c>
      <c r="N81" s="7" t="s">
        <v>239</v>
      </c>
      <c r="O81" s="7" t="s">
        <v>239</v>
      </c>
    </row>
    <row r="82" spans="1:15" ht="101.5" x14ac:dyDescent="0.35">
      <c r="A82" s="7" t="s">
        <v>550</v>
      </c>
      <c r="B82" s="7" t="s">
        <v>2554</v>
      </c>
      <c r="C82" s="7" t="s">
        <v>2278</v>
      </c>
      <c r="D82" s="7" t="s">
        <v>551</v>
      </c>
      <c r="E82" s="7" t="s">
        <v>26</v>
      </c>
      <c r="F82" s="7" t="s">
        <v>2258</v>
      </c>
      <c r="G82" s="7" t="s">
        <v>2258</v>
      </c>
      <c r="H82" s="7" t="s">
        <v>2555</v>
      </c>
      <c r="I82" s="7" t="s">
        <v>2466</v>
      </c>
      <c r="J82" s="7" t="s">
        <v>2556</v>
      </c>
      <c r="K82" s="7" t="s">
        <v>2258</v>
      </c>
      <c r="L82" s="7" t="s">
        <v>2257</v>
      </c>
      <c r="M82" s="7" t="s">
        <v>141</v>
      </c>
      <c r="N82" s="7" t="s">
        <v>239</v>
      </c>
      <c r="O82" s="7" t="s">
        <v>239</v>
      </c>
    </row>
    <row r="83" spans="1:15" ht="116" x14ac:dyDescent="0.35">
      <c r="A83" s="7" t="s">
        <v>2557</v>
      </c>
      <c r="B83" s="7" t="s">
        <v>2558</v>
      </c>
      <c r="C83" s="7" t="s">
        <v>2419</v>
      </c>
      <c r="D83" s="7" t="s">
        <v>554</v>
      </c>
      <c r="E83" s="7" t="s">
        <v>26</v>
      </c>
      <c r="F83" s="8" t="s">
        <v>2559</v>
      </c>
      <c r="G83" s="8" t="s">
        <v>2560</v>
      </c>
      <c r="H83" s="7" t="s">
        <v>2561</v>
      </c>
      <c r="I83" s="7" t="s">
        <v>2466</v>
      </c>
      <c r="J83" s="7" t="s">
        <v>2258</v>
      </c>
      <c r="K83" s="7" t="s">
        <v>2258</v>
      </c>
      <c r="L83" s="7" t="s">
        <v>2257</v>
      </c>
      <c r="M83" s="7" t="s">
        <v>2258</v>
      </c>
      <c r="N83" s="7" t="s">
        <v>239</v>
      </c>
      <c r="O83" s="7" t="s">
        <v>239</v>
      </c>
    </row>
    <row r="84" spans="1:15" ht="130.5" x14ac:dyDescent="0.35">
      <c r="A84" s="7" t="s">
        <v>560</v>
      </c>
      <c r="B84" s="7" t="s">
        <v>2418</v>
      </c>
      <c r="C84" s="7" t="s">
        <v>2518</v>
      </c>
      <c r="D84" s="7" t="s">
        <v>561</v>
      </c>
      <c r="E84" s="7" t="s">
        <v>26</v>
      </c>
      <c r="F84" s="8" t="s">
        <v>2562</v>
      </c>
      <c r="G84" s="8" t="s">
        <v>562</v>
      </c>
      <c r="H84" s="7" t="s">
        <v>563</v>
      </c>
      <c r="I84" s="7" t="s">
        <v>2466</v>
      </c>
      <c r="J84" s="7" t="s">
        <v>256</v>
      </c>
      <c r="K84" s="7" t="s">
        <v>2258</v>
      </c>
      <c r="L84" s="7" t="s">
        <v>2257</v>
      </c>
      <c r="M84" s="7" t="s">
        <v>141</v>
      </c>
      <c r="N84" s="7" t="s">
        <v>239</v>
      </c>
      <c r="O84" s="7" t="s">
        <v>239</v>
      </c>
    </row>
    <row r="85" spans="1:15" ht="116" x14ac:dyDescent="0.35">
      <c r="A85" s="7" t="s">
        <v>566</v>
      </c>
      <c r="B85" s="7" t="s">
        <v>2563</v>
      </c>
      <c r="C85" s="7" t="s">
        <v>2518</v>
      </c>
      <c r="D85" s="7" t="s">
        <v>567</v>
      </c>
      <c r="E85" s="7" t="s">
        <v>26</v>
      </c>
      <c r="F85" s="7" t="s">
        <v>2258</v>
      </c>
      <c r="G85" s="8" t="s">
        <v>568</v>
      </c>
      <c r="H85" s="7" t="s">
        <v>2564</v>
      </c>
      <c r="I85" s="7" t="s">
        <v>2565</v>
      </c>
      <c r="J85" s="7" t="s">
        <v>256</v>
      </c>
      <c r="K85" s="7" t="s">
        <v>2258</v>
      </c>
      <c r="L85" s="7" t="s">
        <v>2257</v>
      </c>
      <c r="M85" s="7" t="s">
        <v>141</v>
      </c>
      <c r="N85" s="7" t="s">
        <v>239</v>
      </c>
      <c r="O85" s="7" t="s">
        <v>239</v>
      </c>
    </row>
    <row r="86" spans="1:15" ht="174" x14ac:dyDescent="0.35">
      <c r="A86" s="7" t="s">
        <v>2566</v>
      </c>
      <c r="B86" s="7" t="s">
        <v>2567</v>
      </c>
      <c r="C86" s="7" t="s">
        <v>2474</v>
      </c>
      <c r="D86" s="7" t="s">
        <v>572</v>
      </c>
      <c r="E86" s="7" t="s">
        <v>26</v>
      </c>
      <c r="F86" s="8" t="s">
        <v>2568</v>
      </c>
      <c r="G86" s="7" t="s">
        <v>2569</v>
      </c>
      <c r="H86" s="7" t="s">
        <v>2570</v>
      </c>
      <c r="I86" s="7" t="s">
        <v>2532</v>
      </c>
      <c r="J86" s="7" t="s">
        <v>2533</v>
      </c>
      <c r="K86" s="7" t="s">
        <v>2258</v>
      </c>
      <c r="L86" s="7" t="s">
        <v>2257</v>
      </c>
      <c r="M86" s="7" t="s">
        <v>2258</v>
      </c>
      <c r="N86" s="7" t="s">
        <v>239</v>
      </c>
      <c r="O86" s="7" t="s">
        <v>239</v>
      </c>
    </row>
    <row r="87" spans="1:15" ht="87" x14ac:dyDescent="0.35">
      <c r="A87" s="7" t="s">
        <v>2571</v>
      </c>
      <c r="B87" s="7" t="s">
        <v>2418</v>
      </c>
      <c r="C87" s="7" t="s">
        <v>2278</v>
      </c>
      <c r="D87" s="7" t="s">
        <v>578</v>
      </c>
      <c r="E87" s="7" t="s">
        <v>26</v>
      </c>
      <c r="F87" s="8" t="s">
        <v>2572</v>
      </c>
      <c r="G87" s="8" t="s">
        <v>579</v>
      </c>
      <c r="H87" s="7" t="s">
        <v>2573</v>
      </c>
      <c r="I87" s="7" t="s">
        <v>2466</v>
      </c>
      <c r="J87" s="7" t="s">
        <v>140</v>
      </c>
      <c r="K87" s="7" t="s">
        <v>2258</v>
      </c>
      <c r="L87" s="7" t="s">
        <v>2257</v>
      </c>
      <c r="M87" s="7" t="s">
        <v>141</v>
      </c>
      <c r="N87" s="7" t="s">
        <v>239</v>
      </c>
      <c r="O87" s="7" t="s">
        <v>239</v>
      </c>
    </row>
    <row r="88" spans="1:15" ht="116" x14ac:dyDescent="0.35">
      <c r="A88" s="7" t="s">
        <v>2574</v>
      </c>
      <c r="B88" s="7" t="s">
        <v>2350</v>
      </c>
      <c r="C88" s="7" t="s">
        <v>2278</v>
      </c>
      <c r="D88" s="7" t="s">
        <v>2575</v>
      </c>
      <c r="E88" s="7" t="s">
        <v>26</v>
      </c>
      <c r="F88" s="8" t="s">
        <v>2576</v>
      </c>
      <c r="G88" s="7" t="s">
        <v>2258</v>
      </c>
      <c r="H88" s="7" t="s">
        <v>2577</v>
      </c>
      <c r="I88" s="7" t="s">
        <v>2466</v>
      </c>
      <c r="J88" s="7" t="s">
        <v>140</v>
      </c>
      <c r="K88" s="7" t="s">
        <v>2258</v>
      </c>
      <c r="L88" s="7" t="s">
        <v>2257</v>
      </c>
      <c r="M88" s="7" t="s">
        <v>141</v>
      </c>
      <c r="N88" s="7" t="s">
        <v>239</v>
      </c>
      <c r="O88" s="7" t="s">
        <v>239</v>
      </c>
    </row>
    <row r="89" spans="1:15" ht="116" x14ac:dyDescent="0.35">
      <c r="A89" s="7" t="s">
        <v>590</v>
      </c>
      <c r="B89" s="7" t="s">
        <v>2578</v>
      </c>
      <c r="C89" s="7" t="s">
        <v>2313</v>
      </c>
      <c r="D89" s="7" t="s">
        <v>2579</v>
      </c>
      <c r="E89" s="7" t="s">
        <v>26</v>
      </c>
      <c r="F89" s="8" t="s">
        <v>2580</v>
      </c>
      <c r="G89" s="8" t="s">
        <v>592</v>
      </c>
      <c r="H89" s="7">
        <f>8801812-953976</f>
        <v>7847836</v>
      </c>
      <c r="I89" s="7" t="s">
        <v>2466</v>
      </c>
      <c r="J89" s="7" t="s">
        <v>140</v>
      </c>
      <c r="K89" s="7" t="s">
        <v>2258</v>
      </c>
      <c r="L89" s="7" t="s">
        <v>2257</v>
      </c>
      <c r="M89" s="7" t="s">
        <v>141</v>
      </c>
      <c r="N89" s="7" t="s">
        <v>239</v>
      </c>
      <c r="O89" s="7" t="s">
        <v>239</v>
      </c>
    </row>
    <row r="90" spans="1:15" ht="101.5" x14ac:dyDescent="0.35">
      <c r="A90" s="7" t="s">
        <v>594</v>
      </c>
      <c r="B90" s="7" t="s">
        <v>2364</v>
      </c>
      <c r="C90" s="7" t="s">
        <v>2581</v>
      </c>
      <c r="D90" s="7" t="s">
        <v>595</v>
      </c>
      <c r="E90" s="7" t="s">
        <v>26</v>
      </c>
      <c r="F90" s="8" t="s">
        <v>2582</v>
      </c>
      <c r="G90" s="8" t="s">
        <v>596</v>
      </c>
      <c r="H90" s="7">
        <f>8801617-586387</f>
        <v>8215230</v>
      </c>
      <c r="I90" s="7" t="s">
        <v>256</v>
      </c>
      <c r="J90" s="7" t="s">
        <v>2258</v>
      </c>
      <c r="K90" s="7" t="s">
        <v>2258</v>
      </c>
      <c r="L90" s="7" t="s">
        <v>2257</v>
      </c>
      <c r="M90" s="7" t="s">
        <v>141</v>
      </c>
      <c r="N90" s="7" t="s">
        <v>239</v>
      </c>
      <c r="O90" s="7" t="s">
        <v>239</v>
      </c>
    </row>
    <row r="91" spans="1:15" ht="116" x14ac:dyDescent="0.35">
      <c r="A91" s="7" t="s">
        <v>600</v>
      </c>
      <c r="B91" s="7" t="s">
        <v>2371</v>
      </c>
      <c r="C91" s="7" t="s">
        <v>2583</v>
      </c>
      <c r="D91" s="7" t="s">
        <v>2584</v>
      </c>
      <c r="E91" s="7" t="s">
        <v>26</v>
      </c>
      <c r="F91" s="8" t="s">
        <v>397</v>
      </c>
      <c r="G91" s="8" t="s">
        <v>603</v>
      </c>
      <c r="H91" s="7">
        <v>1912119000</v>
      </c>
      <c r="I91" s="7" t="s">
        <v>2378</v>
      </c>
      <c r="J91" s="7" t="s">
        <v>2585</v>
      </c>
      <c r="K91" s="7" t="s">
        <v>2258</v>
      </c>
      <c r="L91" s="7" t="s">
        <v>2257</v>
      </c>
      <c r="M91" s="7" t="s">
        <v>2258</v>
      </c>
      <c r="N91" s="7" t="s">
        <v>239</v>
      </c>
      <c r="O91" s="7" t="s">
        <v>239</v>
      </c>
    </row>
    <row r="92" spans="1:15" ht="87" x14ac:dyDescent="0.35">
      <c r="A92" s="7" t="s">
        <v>2586</v>
      </c>
      <c r="B92" s="7" t="s">
        <v>2323</v>
      </c>
      <c r="C92" s="7" t="s">
        <v>2513</v>
      </c>
      <c r="D92" s="7" t="s">
        <v>607</v>
      </c>
      <c r="E92" s="7" t="s">
        <v>26</v>
      </c>
      <c r="F92" s="8" t="s">
        <v>2587</v>
      </c>
      <c r="G92" s="8" t="s">
        <v>608</v>
      </c>
      <c r="H92" s="7">
        <v>8801894804333</v>
      </c>
      <c r="I92" s="7" t="s">
        <v>256</v>
      </c>
      <c r="J92" s="7" t="s">
        <v>2258</v>
      </c>
      <c r="K92" s="7" t="s">
        <v>2258</v>
      </c>
      <c r="L92" s="7" t="s">
        <v>2257</v>
      </c>
      <c r="M92" s="7" t="s">
        <v>141</v>
      </c>
      <c r="N92" s="7" t="s">
        <v>239</v>
      </c>
      <c r="O92" s="7" t="s">
        <v>239</v>
      </c>
    </row>
    <row r="93" spans="1:15" ht="174" x14ac:dyDescent="0.35">
      <c r="A93" s="7" t="s">
        <v>613</v>
      </c>
      <c r="B93" s="7" t="s">
        <v>2384</v>
      </c>
      <c r="C93" s="7" t="s">
        <v>2588</v>
      </c>
      <c r="D93" s="7" t="s">
        <v>614</v>
      </c>
      <c r="E93" s="7" t="s">
        <v>26</v>
      </c>
      <c r="F93" s="8" t="s">
        <v>2589</v>
      </c>
      <c r="G93" s="8" t="s">
        <v>615</v>
      </c>
      <c r="H93" s="7" t="s">
        <v>2590</v>
      </c>
      <c r="I93" s="7" t="s">
        <v>2466</v>
      </c>
      <c r="J93" s="7" t="s">
        <v>140</v>
      </c>
      <c r="K93" s="7" t="s">
        <v>2258</v>
      </c>
      <c r="L93" s="7" t="s">
        <v>2257</v>
      </c>
      <c r="M93" s="7" t="s">
        <v>141</v>
      </c>
      <c r="N93" s="7" t="s">
        <v>239</v>
      </c>
      <c r="O93" s="7" t="s">
        <v>239</v>
      </c>
    </row>
    <row r="94" spans="1:15" ht="174" x14ac:dyDescent="0.35">
      <c r="A94" s="7" t="s">
        <v>619</v>
      </c>
      <c r="B94" s="7" t="s">
        <v>2384</v>
      </c>
      <c r="C94" s="7" t="s">
        <v>2588</v>
      </c>
      <c r="D94" s="7" t="s">
        <v>620</v>
      </c>
      <c r="E94" s="7" t="s">
        <v>26</v>
      </c>
      <c r="F94" s="8" t="s">
        <v>2591</v>
      </c>
      <c r="G94" s="8" t="s">
        <v>621</v>
      </c>
      <c r="H94" s="7">
        <f>88-1844507617</f>
        <v>-1844507529</v>
      </c>
      <c r="I94" s="7" t="s">
        <v>2466</v>
      </c>
      <c r="J94" s="7" t="s">
        <v>140</v>
      </c>
      <c r="K94" s="7" t="s">
        <v>2258</v>
      </c>
      <c r="L94" s="7" t="s">
        <v>2257</v>
      </c>
      <c r="M94" s="7" t="s">
        <v>141</v>
      </c>
      <c r="N94" s="7" t="s">
        <v>239</v>
      </c>
      <c r="O94" s="7" t="s">
        <v>239</v>
      </c>
    </row>
    <row r="95" spans="1:15" ht="188.5" x14ac:dyDescent="0.35">
      <c r="A95" s="7" t="s">
        <v>628</v>
      </c>
      <c r="B95" s="7" t="s">
        <v>2384</v>
      </c>
      <c r="C95" s="7" t="s">
        <v>2592</v>
      </c>
      <c r="D95" s="7" t="s">
        <v>2593</v>
      </c>
      <c r="E95" s="7" t="s">
        <v>26</v>
      </c>
      <c r="F95" s="8" t="s">
        <v>2589</v>
      </c>
      <c r="G95" s="8" t="s">
        <v>615</v>
      </c>
      <c r="H95" s="7" t="s">
        <v>2594</v>
      </c>
      <c r="I95" s="7" t="s">
        <v>2458</v>
      </c>
      <c r="J95" s="7" t="s">
        <v>2595</v>
      </c>
      <c r="K95" s="7" t="s">
        <v>2258</v>
      </c>
      <c r="L95" s="7" t="s">
        <v>2257</v>
      </c>
      <c r="M95" s="7" t="s">
        <v>2258</v>
      </c>
      <c r="N95" s="7" t="s">
        <v>239</v>
      </c>
      <c r="O95" s="7" t="s">
        <v>239</v>
      </c>
    </row>
    <row r="96" spans="1:15" ht="174" x14ac:dyDescent="0.35">
      <c r="A96" s="7" t="s">
        <v>2596</v>
      </c>
      <c r="B96" s="7" t="s">
        <v>2418</v>
      </c>
      <c r="C96" s="7" t="s">
        <v>2402</v>
      </c>
      <c r="D96" s="7" t="s">
        <v>2597</v>
      </c>
      <c r="E96" s="7" t="s">
        <v>26</v>
      </c>
      <c r="F96" s="7" t="s">
        <v>2258</v>
      </c>
      <c r="G96" s="7" t="s">
        <v>2258</v>
      </c>
      <c r="H96" s="7" t="s">
        <v>2598</v>
      </c>
      <c r="I96" s="7" t="s">
        <v>256</v>
      </c>
      <c r="J96" s="7" t="s">
        <v>2258</v>
      </c>
      <c r="K96" s="7" t="s">
        <v>2258</v>
      </c>
      <c r="L96" s="7" t="s">
        <v>2257</v>
      </c>
      <c r="M96" s="7" t="s">
        <v>141</v>
      </c>
      <c r="N96" s="7" t="s">
        <v>239</v>
      </c>
      <c r="O96" s="7" t="s">
        <v>239</v>
      </c>
    </row>
    <row r="97" spans="1:15" ht="101.5" x14ac:dyDescent="0.35">
      <c r="A97" s="7" t="s">
        <v>648</v>
      </c>
      <c r="B97" s="7" t="s">
        <v>2371</v>
      </c>
      <c r="C97" s="7" t="s">
        <v>2313</v>
      </c>
      <c r="D97" s="7" t="s">
        <v>2599</v>
      </c>
      <c r="E97" s="7" t="s">
        <v>26</v>
      </c>
      <c r="F97" s="7" t="s">
        <v>2258</v>
      </c>
      <c r="G97" s="8" t="s">
        <v>2600</v>
      </c>
      <c r="H97" s="7" t="s">
        <v>2601</v>
      </c>
      <c r="I97" s="7" t="s">
        <v>256</v>
      </c>
      <c r="J97" s="7" t="s">
        <v>2258</v>
      </c>
      <c r="K97" s="7" t="s">
        <v>2258</v>
      </c>
      <c r="L97" s="7" t="s">
        <v>2257</v>
      </c>
      <c r="M97" s="7" t="s">
        <v>141</v>
      </c>
      <c r="N97" s="7" t="s">
        <v>239</v>
      </c>
      <c r="O97" s="7" t="s">
        <v>239</v>
      </c>
    </row>
    <row r="98" spans="1:15" ht="87" x14ac:dyDescent="0.35">
      <c r="A98" s="7" t="s">
        <v>634</v>
      </c>
      <c r="B98" s="7" t="s">
        <v>2371</v>
      </c>
      <c r="C98" s="7" t="s">
        <v>2602</v>
      </c>
      <c r="D98" s="7" t="s">
        <v>2603</v>
      </c>
      <c r="E98" s="7" t="s">
        <v>26</v>
      </c>
      <c r="F98" s="8" t="s">
        <v>2604</v>
      </c>
      <c r="G98" s="8" t="s">
        <v>2604</v>
      </c>
      <c r="H98" s="7" t="s">
        <v>2605</v>
      </c>
      <c r="I98" s="7" t="s">
        <v>2378</v>
      </c>
      <c r="J98" s="7" t="s">
        <v>256</v>
      </c>
      <c r="K98" s="7" t="s">
        <v>2258</v>
      </c>
      <c r="L98" s="7" t="s">
        <v>2257</v>
      </c>
      <c r="M98" s="7" t="s">
        <v>141</v>
      </c>
      <c r="N98" s="7" t="s">
        <v>239</v>
      </c>
      <c r="O98" s="7" t="s">
        <v>239</v>
      </c>
    </row>
    <row r="99" spans="1:15" ht="116" x14ac:dyDescent="0.35">
      <c r="A99" s="7" t="s">
        <v>2606</v>
      </c>
      <c r="B99" s="7" t="s">
        <v>2384</v>
      </c>
      <c r="C99" s="7" t="s">
        <v>2518</v>
      </c>
      <c r="D99" s="7" t="s">
        <v>2607</v>
      </c>
      <c r="E99" s="7" t="s">
        <v>26</v>
      </c>
      <c r="F99" s="8" t="s">
        <v>2608</v>
      </c>
      <c r="G99" s="8" t="s">
        <v>2609</v>
      </c>
      <c r="H99" s="7">
        <v>8801730509555</v>
      </c>
      <c r="I99" s="7" t="s">
        <v>2255</v>
      </c>
      <c r="J99" s="7" t="s">
        <v>2610</v>
      </c>
      <c r="K99" s="7" t="s">
        <v>2234</v>
      </c>
      <c r="L99" s="7" t="s">
        <v>2257</v>
      </c>
      <c r="M99" s="7" t="s">
        <v>2258</v>
      </c>
      <c r="N99" s="7" t="s">
        <v>2369</v>
      </c>
      <c r="O99" s="7" t="s">
        <v>2369</v>
      </c>
    </row>
    <row r="100" spans="1:15" ht="261" x14ac:dyDescent="0.35">
      <c r="A100" s="7" t="s">
        <v>652</v>
      </c>
      <c r="B100" s="7" t="s">
        <v>2611</v>
      </c>
      <c r="C100" s="7" t="s">
        <v>2612</v>
      </c>
      <c r="D100" s="7" t="s">
        <v>2613</v>
      </c>
      <c r="E100" s="7" t="s">
        <v>26</v>
      </c>
      <c r="F100" s="8" t="s">
        <v>2614</v>
      </c>
      <c r="G100" s="7" t="s">
        <v>2258</v>
      </c>
      <c r="H100" s="7" t="s">
        <v>2615</v>
      </c>
      <c r="I100" s="7" t="s">
        <v>2616</v>
      </c>
      <c r="J100" s="7" t="s">
        <v>2617</v>
      </c>
      <c r="K100" s="7" t="s">
        <v>2258</v>
      </c>
      <c r="L100" s="7" t="s">
        <v>2257</v>
      </c>
      <c r="M100" s="7" t="s">
        <v>141</v>
      </c>
      <c r="N100" s="7" t="s">
        <v>657</v>
      </c>
      <c r="O100" s="7" t="s">
        <v>657</v>
      </c>
    </row>
    <row r="101" spans="1:15" ht="145" x14ac:dyDescent="0.35">
      <c r="A101" s="7" t="s">
        <v>2618</v>
      </c>
      <c r="B101" s="7" t="s">
        <v>2265</v>
      </c>
      <c r="C101" s="7" t="s">
        <v>2497</v>
      </c>
      <c r="D101" s="7" t="s">
        <v>2619</v>
      </c>
      <c r="E101" s="7" t="s">
        <v>662</v>
      </c>
      <c r="F101" s="8" t="s">
        <v>2620</v>
      </c>
      <c r="G101" s="8" t="s">
        <v>664</v>
      </c>
      <c r="H101" s="7">
        <f>88-31-619400</f>
        <v>-619343</v>
      </c>
      <c r="I101" s="7" t="s">
        <v>2621</v>
      </c>
      <c r="J101" s="7" t="s">
        <v>2258</v>
      </c>
      <c r="K101" s="7" t="s">
        <v>2622</v>
      </c>
      <c r="L101" s="7" t="s">
        <v>2257</v>
      </c>
      <c r="M101" s="7" t="s">
        <v>2258</v>
      </c>
      <c r="N101" s="7" t="s">
        <v>35</v>
      </c>
      <c r="O101" s="7" t="s">
        <v>35</v>
      </c>
    </row>
    <row r="102" spans="1:15" ht="203" x14ac:dyDescent="0.35">
      <c r="A102" s="7" t="s">
        <v>671</v>
      </c>
      <c r="B102" s="7" t="s">
        <v>2289</v>
      </c>
      <c r="C102" s="7" t="s">
        <v>2290</v>
      </c>
      <c r="D102" s="7" t="s">
        <v>2623</v>
      </c>
      <c r="E102" s="7" t="s">
        <v>662</v>
      </c>
      <c r="F102" s="8" t="s">
        <v>2620</v>
      </c>
      <c r="G102" s="8" t="s">
        <v>664</v>
      </c>
      <c r="H102" s="7">
        <f>88-31-619400</f>
        <v>-619343</v>
      </c>
      <c r="I102" s="7" t="s">
        <v>2624</v>
      </c>
      <c r="J102" s="7" t="s">
        <v>2258</v>
      </c>
      <c r="K102" s="7" t="s">
        <v>2622</v>
      </c>
      <c r="L102" s="7" t="s">
        <v>2292</v>
      </c>
      <c r="M102" s="7" t="s">
        <v>2258</v>
      </c>
      <c r="N102" s="7" t="s">
        <v>35</v>
      </c>
      <c r="O102" s="7" t="s">
        <v>35</v>
      </c>
    </row>
    <row r="103" spans="1:15" ht="101.5" x14ac:dyDescent="0.35">
      <c r="A103" s="7" t="s">
        <v>672</v>
      </c>
      <c r="B103" s="7" t="s">
        <v>2286</v>
      </c>
      <c r="C103" s="7" t="s">
        <v>2625</v>
      </c>
      <c r="D103" s="7" t="s">
        <v>674</v>
      </c>
      <c r="E103" s="7" t="s">
        <v>662</v>
      </c>
      <c r="F103" s="7" t="s">
        <v>2258</v>
      </c>
      <c r="G103" s="8" t="s">
        <v>2626</v>
      </c>
      <c r="H103" s="7" t="s">
        <v>2627</v>
      </c>
      <c r="I103" s="7" t="s">
        <v>256</v>
      </c>
      <c r="J103" s="7" t="s">
        <v>2258</v>
      </c>
      <c r="K103" s="7" t="s">
        <v>2622</v>
      </c>
      <c r="L103" s="7" t="s">
        <v>2257</v>
      </c>
      <c r="M103" s="7" t="s">
        <v>141</v>
      </c>
      <c r="N103" s="7" t="s">
        <v>35</v>
      </c>
      <c r="O103" s="7" t="s">
        <v>35</v>
      </c>
    </row>
    <row r="104" spans="1:15" ht="130.5" x14ac:dyDescent="0.35">
      <c r="A104" s="7" t="s">
        <v>2628</v>
      </c>
      <c r="B104" s="7" t="s">
        <v>2265</v>
      </c>
      <c r="C104" s="7" t="s">
        <v>2278</v>
      </c>
      <c r="D104" s="7" t="s">
        <v>2629</v>
      </c>
      <c r="E104" s="7" t="s">
        <v>662</v>
      </c>
      <c r="F104" s="8" t="s">
        <v>2630</v>
      </c>
      <c r="G104" s="8" t="s">
        <v>682</v>
      </c>
      <c r="H104" s="7" t="s">
        <v>2631</v>
      </c>
      <c r="I104" s="7" t="s">
        <v>2632</v>
      </c>
      <c r="J104" s="7" t="s">
        <v>2258</v>
      </c>
      <c r="K104" s="7" t="s">
        <v>2622</v>
      </c>
      <c r="L104" s="7" t="s">
        <v>2257</v>
      </c>
      <c r="M104" s="7" t="s">
        <v>2258</v>
      </c>
      <c r="N104" s="7" t="s">
        <v>35</v>
      </c>
      <c r="O104" s="7" t="s">
        <v>35</v>
      </c>
    </row>
    <row r="105" spans="1:15" ht="174" x14ac:dyDescent="0.35">
      <c r="A105" s="7" t="s">
        <v>2633</v>
      </c>
      <c r="B105" s="7" t="s">
        <v>2289</v>
      </c>
      <c r="C105" s="7" t="s">
        <v>2307</v>
      </c>
      <c r="D105" s="7" t="s">
        <v>2629</v>
      </c>
      <c r="E105" s="7" t="s">
        <v>662</v>
      </c>
      <c r="F105" s="8" t="s">
        <v>2630</v>
      </c>
      <c r="G105" s="8" t="s">
        <v>682</v>
      </c>
      <c r="H105" s="7" t="s">
        <v>2631</v>
      </c>
      <c r="I105" s="7" t="s">
        <v>2632</v>
      </c>
      <c r="J105" s="7" t="s">
        <v>2258</v>
      </c>
      <c r="K105" s="7" t="s">
        <v>2622</v>
      </c>
      <c r="L105" s="7" t="s">
        <v>2292</v>
      </c>
      <c r="M105" s="7" t="s">
        <v>2258</v>
      </c>
      <c r="N105" s="7" t="s">
        <v>35</v>
      </c>
      <c r="O105" s="7" t="s">
        <v>35</v>
      </c>
    </row>
    <row r="106" spans="1:15" ht="145" x14ac:dyDescent="0.35">
      <c r="A106" s="7" t="s">
        <v>2634</v>
      </c>
      <c r="B106" s="7" t="s">
        <v>2265</v>
      </c>
      <c r="C106" s="7" t="s">
        <v>2278</v>
      </c>
      <c r="D106" s="7" t="s">
        <v>688</v>
      </c>
      <c r="E106" s="7" t="s">
        <v>662</v>
      </c>
      <c r="F106" s="7" t="s">
        <v>2635</v>
      </c>
      <c r="G106" s="8" t="s">
        <v>690</v>
      </c>
      <c r="H106" s="7" t="s">
        <v>2636</v>
      </c>
      <c r="I106" s="7" t="s">
        <v>2637</v>
      </c>
      <c r="J106" s="7" t="s">
        <v>2258</v>
      </c>
      <c r="K106" s="7" t="s">
        <v>2622</v>
      </c>
      <c r="L106" s="7" t="s">
        <v>2257</v>
      </c>
      <c r="M106" s="7" t="s">
        <v>2258</v>
      </c>
      <c r="N106" s="7" t="s">
        <v>35</v>
      </c>
      <c r="O106" s="7" t="s">
        <v>35</v>
      </c>
    </row>
    <row r="107" spans="1:15" ht="203" x14ac:dyDescent="0.35">
      <c r="A107" s="7" t="s">
        <v>2638</v>
      </c>
      <c r="B107" s="7" t="s">
        <v>2289</v>
      </c>
      <c r="C107" s="7" t="s">
        <v>2290</v>
      </c>
      <c r="D107" s="7" t="s">
        <v>688</v>
      </c>
      <c r="E107" s="7" t="s">
        <v>662</v>
      </c>
      <c r="F107" s="7" t="s">
        <v>2635</v>
      </c>
      <c r="G107" s="7" t="s">
        <v>2258</v>
      </c>
      <c r="H107" s="7" t="s">
        <v>2639</v>
      </c>
      <c r="I107" s="7" t="s">
        <v>2637</v>
      </c>
      <c r="J107" s="7" t="s">
        <v>2258</v>
      </c>
      <c r="K107" s="7" t="s">
        <v>2622</v>
      </c>
      <c r="L107" s="7" t="s">
        <v>2292</v>
      </c>
      <c r="M107" s="7" t="s">
        <v>2258</v>
      </c>
      <c r="N107" s="7" t="s">
        <v>35</v>
      </c>
      <c r="O107" s="7" t="s">
        <v>35</v>
      </c>
    </row>
    <row r="108" spans="1:15" ht="145" x14ac:dyDescent="0.35">
      <c r="A108" s="7" t="s">
        <v>2640</v>
      </c>
      <c r="B108" s="7" t="s">
        <v>2265</v>
      </c>
      <c r="C108" s="7" t="s">
        <v>2278</v>
      </c>
      <c r="D108" s="7" t="s">
        <v>699</v>
      </c>
      <c r="E108" s="7" t="s">
        <v>662</v>
      </c>
      <c r="F108" s="8" t="s">
        <v>2641</v>
      </c>
      <c r="G108" s="8" t="s">
        <v>701</v>
      </c>
      <c r="H108" s="7" t="s">
        <v>2642</v>
      </c>
      <c r="I108" s="7" t="s">
        <v>2637</v>
      </c>
      <c r="J108" s="7" t="s">
        <v>2258</v>
      </c>
      <c r="K108" s="7" t="s">
        <v>2622</v>
      </c>
      <c r="L108" s="7" t="s">
        <v>2257</v>
      </c>
      <c r="M108" s="7" t="s">
        <v>2258</v>
      </c>
      <c r="N108" s="7" t="s">
        <v>35</v>
      </c>
      <c r="O108" s="7" t="s">
        <v>35</v>
      </c>
    </row>
    <row r="109" spans="1:15" ht="174" x14ac:dyDescent="0.35">
      <c r="A109" s="7" t="s">
        <v>708</v>
      </c>
      <c r="B109" s="7" t="s">
        <v>2289</v>
      </c>
      <c r="C109" s="7" t="s">
        <v>2307</v>
      </c>
      <c r="D109" s="7" t="s">
        <v>699</v>
      </c>
      <c r="E109" s="7" t="s">
        <v>662</v>
      </c>
      <c r="F109" s="8" t="s">
        <v>2641</v>
      </c>
      <c r="G109" s="7" t="s">
        <v>2258</v>
      </c>
      <c r="H109" s="7" t="s">
        <v>2642</v>
      </c>
      <c r="I109" s="7" t="s">
        <v>2637</v>
      </c>
      <c r="J109" s="7" t="s">
        <v>2258</v>
      </c>
      <c r="K109" s="7" t="s">
        <v>2622</v>
      </c>
      <c r="L109" s="7" t="s">
        <v>2292</v>
      </c>
      <c r="M109" s="7" t="s">
        <v>2258</v>
      </c>
      <c r="N109" s="7" t="s">
        <v>35</v>
      </c>
      <c r="O109" s="7" t="s">
        <v>35</v>
      </c>
    </row>
    <row r="110" spans="1:15" ht="145" x14ac:dyDescent="0.35">
      <c r="A110" s="7" t="s">
        <v>710</v>
      </c>
      <c r="B110" s="7" t="s">
        <v>2265</v>
      </c>
      <c r="C110" s="7" t="s">
        <v>2278</v>
      </c>
      <c r="D110" s="7" t="s">
        <v>711</v>
      </c>
      <c r="E110" s="7" t="s">
        <v>662</v>
      </c>
      <c r="F110" s="8" t="s">
        <v>2643</v>
      </c>
      <c r="G110" s="8" t="s">
        <v>2643</v>
      </c>
      <c r="H110" s="7" t="s">
        <v>2644</v>
      </c>
      <c r="I110" s="7" t="s">
        <v>2637</v>
      </c>
      <c r="J110" s="7" t="s">
        <v>2258</v>
      </c>
      <c r="K110" s="7" t="s">
        <v>2622</v>
      </c>
      <c r="L110" s="7" t="s">
        <v>2257</v>
      </c>
      <c r="M110" s="7" t="s">
        <v>2258</v>
      </c>
      <c r="N110" s="7" t="s">
        <v>35</v>
      </c>
      <c r="O110" s="7" t="s">
        <v>35</v>
      </c>
    </row>
    <row r="111" spans="1:15" ht="101.5" x14ac:dyDescent="0.35">
      <c r="A111" s="7" t="s">
        <v>2645</v>
      </c>
      <c r="B111" s="7" t="s">
        <v>2277</v>
      </c>
      <c r="C111" s="7" t="s">
        <v>2278</v>
      </c>
      <c r="D111" s="7" t="s">
        <v>2646</v>
      </c>
      <c r="E111" s="7" t="s">
        <v>662</v>
      </c>
      <c r="F111" s="7" t="s">
        <v>2647</v>
      </c>
      <c r="G111" s="7" t="s">
        <v>2258</v>
      </c>
      <c r="H111" s="7" t="s">
        <v>2648</v>
      </c>
      <c r="I111" s="7" t="s">
        <v>2649</v>
      </c>
      <c r="J111" s="7" t="s">
        <v>2258</v>
      </c>
      <c r="K111" s="7" t="s">
        <v>2258</v>
      </c>
      <c r="L111" s="7" t="s">
        <v>2257</v>
      </c>
      <c r="M111" s="7" t="s">
        <v>2258</v>
      </c>
      <c r="N111" s="7" t="s">
        <v>35</v>
      </c>
      <c r="O111" s="7" t="s">
        <v>35</v>
      </c>
    </row>
    <row r="112" spans="1:15" ht="101.5" x14ac:dyDescent="0.35">
      <c r="A112" s="7" t="s">
        <v>724</v>
      </c>
      <c r="B112" s="7" t="s">
        <v>2277</v>
      </c>
      <c r="C112" s="7" t="s">
        <v>2278</v>
      </c>
      <c r="D112" s="7" t="s">
        <v>725</v>
      </c>
      <c r="E112" s="7" t="s">
        <v>662</v>
      </c>
      <c r="F112" s="8" t="s">
        <v>2650</v>
      </c>
      <c r="G112" s="8" t="s">
        <v>2651</v>
      </c>
      <c r="H112" s="7" t="s">
        <v>2652</v>
      </c>
      <c r="I112" s="7" t="s">
        <v>2649</v>
      </c>
      <c r="J112" s="7" t="s">
        <v>2258</v>
      </c>
      <c r="K112" s="7" t="s">
        <v>2258</v>
      </c>
      <c r="L112" s="7" t="s">
        <v>2257</v>
      </c>
      <c r="M112" s="7" t="s">
        <v>2258</v>
      </c>
      <c r="N112" s="7" t="s">
        <v>35</v>
      </c>
      <c r="O112" s="7" t="s">
        <v>35</v>
      </c>
    </row>
    <row r="113" spans="1:15" ht="203" x14ac:dyDescent="0.35">
      <c r="A113" s="7" t="s">
        <v>2653</v>
      </c>
      <c r="B113" s="7" t="s">
        <v>2265</v>
      </c>
      <c r="C113" s="7" t="s">
        <v>2290</v>
      </c>
      <c r="D113" s="7" t="s">
        <v>2654</v>
      </c>
      <c r="E113" s="7" t="s">
        <v>662</v>
      </c>
      <c r="F113" s="8" t="s">
        <v>2655</v>
      </c>
      <c r="G113" s="8" t="s">
        <v>732</v>
      </c>
      <c r="H113" s="7" t="s">
        <v>2656</v>
      </c>
      <c r="I113" s="7" t="s">
        <v>2657</v>
      </c>
      <c r="J113" s="7" t="s">
        <v>2258</v>
      </c>
      <c r="K113" s="7" t="s">
        <v>2247</v>
      </c>
      <c r="L113" s="7" t="s">
        <v>2292</v>
      </c>
      <c r="M113" s="7" t="s">
        <v>141</v>
      </c>
      <c r="N113" s="7" t="s">
        <v>35</v>
      </c>
      <c r="O113" s="7" t="s">
        <v>35</v>
      </c>
    </row>
    <row r="114" spans="1:15" ht="217.5" x14ac:dyDescent="0.35">
      <c r="A114" s="7" t="s">
        <v>2658</v>
      </c>
      <c r="B114" s="7" t="s">
        <v>2289</v>
      </c>
      <c r="C114" s="7" t="s">
        <v>2659</v>
      </c>
      <c r="D114" s="7" t="s">
        <v>730</v>
      </c>
      <c r="E114" s="7" t="s">
        <v>662</v>
      </c>
      <c r="F114" s="8" t="s">
        <v>2655</v>
      </c>
      <c r="G114" s="8" t="s">
        <v>732</v>
      </c>
      <c r="H114" s="7" t="s">
        <v>2660</v>
      </c>
      <c r="I114" s="7" t="s">
        <v>2661</v>
      </c>
      <c r="J114" s="7" t="s">
        <v>2258</v>
      </c>
      <c r="K114" s="7" t="s">
        <v>2247</v>
      </c>
      <c r="L114" s="7" t="s">
        <v>2292</v>
      </c>
      <c r="M114" s="7" t="s">
        <v>141</v>
      </c>
      <c r="N114" s="7" t="s">
        <v>35</v>
      </c>
      <c r="O114" s="7" t="s">
        <v>35</v>
      </c>
    </row>
    <row r="115" spans="1:15" ht="188.5" x14ac:dyDescent="0.35">
      <c r="A115" s="7" t="s">
        <v>742</v>
      </c>
      <c r="B115" s="7" t="s">
        <v>2418</v>
      </c>
      <c r="C115" s="7" t="s">
        <v>2278</v>
      </c>
      <c r="D115" s="7" t="s">
        <v>743</v>
      </c>
      <c r="E115" s="7" t="s">
        <v>662</v>
      </c>
      <c r="F115" s="8" t="s">
        <v>2662</v>
      </c>
      <c r="G115" s="8" t="s">
        <v>2663</v>
      </c>
      <c r="H115" s="7" t="s">
        <v>2664</v>
      </c>
      <c r="I115" s="7" t="s">
        <v>747</v>
      </c>
      <c r="J115" s="7" t="s">
        <v>2258</v>
      </c>
      <c r="K115" s="7" t="s">
        <v>2243</v>
      </c>
      <c r="L115" s="7" t="s">
        <v>2257</v>
      </c>
      <c r="M115" s="7" t="s">
        <v>141</v>
      </c>
      <c r="N115" s="7" t="s">
        <v>239</v>
      </c>
      <c r="O115" s="7" t="s">
        <v>239</v>
      </c>
    </row>
    <row r="116" spans="1:15" ht="217.5" x14ac:dyDescent="0.35">
      <c r="A116" s="7" t="s">
        <v>2665</v>
      </c>
      <c r="B116" s="7" t="s">
        <v>2666</v>
      </c>
      <c r="C116" s="7" t="s">
        <v>2278</v>
      </c>
      <c r="D116" s="7" t="s">
        <v>751</v>
      </c>
      <c r="E116" s="7" t="s">
        <v>662</v>
      </c>
      <c r="F116" s="8" t="s">
        <v>2667</v>
      </c>
      <c r="G116" s="7" t="s">
        <v>2668</v>
      </c>
      <c r="H116" s="7" t="s">
        <v>2669</v>
      </c>
      <c r="I116" s="7" t="s">
        <v>2670</v>
      </c>
      <c r="J116" s="7" t="s">
        <v>2258</v>
      </c>
      <c r="K116" s="7" t="s">
        <v>2243</v>
      </c>
      <c r="L116" s="7" t="s">
        <v>2257</v>
      </c>
      <c r="M116" s="7" t="s">
        <v>2258</v>
      </c>
      <c r="N116" s="7" t="s">
        <v>239</v>
      </c>
      <c r="O116" s="7" t="s">
        <v>239</v>
      </c>
    </row>
    <row r="117" spans="1:15" ht="58" x14ac:dyDescent="0.35">
      <c r="A117" s="6" t="s">
        <v>0</v>
      </c>
      <c r="B117" s="6" t="s">
        <v>1</v>
      </c>
      <c r="C117" s="6" t="s">
        <v>2</v>
      </c>
      <c r="D117" s="6" t="s">
        <v>3</v>
      </c>
      <c r="E117" s="6" t="s">
        <v>4</v>
      </c>
      <c r="F117" s="6" t="s">
        <v>5</v>
      </c>
      <c r="G117" s="6" t="s">
        <v>6</v>
      </c>
      <c r="H117" s="6" t="s">
        <v>7</v>
      </c>
      <c r="I117" s="6" t="s">
        <v>8</v>
      </c>
      <c r="J117" s="6" t="s">
        <v>9</v>
      </c>
      <c r="K117" s="6" t="s">
        <v>10</v>
      </c>
      <c r="L117" s="6" t="s">
        <v>11</v>
      </c>
      <c r="M117" s="6" t="s">
        <v>12</v>
      </c>
      <c r="N117" s="6" t="s">
        <v>13</v>
      </c>
      <c r="O117" s="6" t="s">
        <v>14</v>
      </c>
    </row>
    <row r="118" spans="1:15" ht="116" x14ac:dyDescent="0.35">
      <c r="A118" s="7" t="s">
        <v>928</v>
      </c>
      <c r="B118" s="7" t="s">
        <v>2671</v>
      </c>
      <c r="C118" s="7" t="s">
        <v>2672</v>
      </c>
      <c r="D118" s="7" t="s">
        <v>2673</v>
      </c>
      <c r="E118" s="7" t="s">
        <v>662</v>
      </c>
      <c r="F118" s="7" t="s">
        <v>2258</v>
      </c>
      <c r="G118" s="7" t="s">
        <v>2258</v>
      </c>
      <c r="H118" s="7" t="s">
        <v>2674</v>
      </c>
      <c r="I118" s="7" t="s">
        <v>2675</v>
      </c>
      <c r="J118" s="7" t="s">
        <v>2676</v>
      </c>
      <c r="K118" s="7" t="s">
        <v>2243</v>
      </c>
      <c r="L118" s="7" t="s">
        <v>2257</v>
      </c>
      <c r="M118" s="7" t="s">
        <v>141</v>
      </c>
      <c r="N118" s="7" t="s">
        <v>239</v>
      </c>
      <c r="O118" s="7" t="s">
        <v>239</v>
      </c>
    </row>
    <row r="119" spans="1:15" ht="101.5" x14ac:dyDescent="0.35">
      <c r="A119" s="7" t="s">
        <v>2677</v>
      </c>
      <c r="B119" s="7" t="s">
        <v>2678</v>
      </c>
      <c r="C119" s="7" t="s">
        <v>2679</v>
      </c>
      <c r="D119" s="7" t="s">
        <v>2680</v>
      </c>
      <c r="E119" s="7" t="s">
        <v>662</v>
      </c>
      <c r="F119" s="7" t="s">
        <v>2258</v>
      </c>
      <c r="G119" s="7" t="s">
        <v>2258</v>
      </c>
      <c r="H119" s="7" t="s">
        <v>2681</v>
      </c>
      <c r="I119" s="7" t="s">
        <v>2675</v>
      </c>
      <c r="J119" s="7" t="s">
        <v>2676</v>
      </c>
      <c r="K119" s="7" t="s">
        <v>2243</v>
      </c>
      <c r="L119" s="7" t="s">
        <v>2257</v>
      </c>
      <c r="M119" s="7" t="s">
        <v>2258</v>
      </c>
      <c r="N119" s="7" t="s">
        <v>239</v>
      </c>
      <c r="O119" s="7" t="s">
        <v>239</v>
      </c>
    </row>
    <row r="120" spans="1:15" ht="72.5" x14ac:dyDescent="0.35">
      <c r="A120" s="7" t="s">
        <v>934</v>
      </c>
      <c r="B120" s="7" t="s">
        <v>2418</v>
      </c>
      <c r="C120" s="7" t="s">
        <v>2672</v>
      </c>
      <c r="D120" s="7" t="s">
        <v>2682</v>
      </c>
      <c r="E120" s="7" t="s">
        <v>662</v>
      </c>
      <c r="F120" s="7" t="s">
        <v>2258</v>
      </c>
      <c r="G120" s="7" t="s">
        <v>2258</v>
      </c>
      <c r="H120" s="7" t="s">
        <v>2683</v>
      </c>
      <c r="I120" s="7" t="s">
        <v>2258</v>
      </c>
      <c r="J120" s="7" t="s">
        <v>950</v>
      </c>
      <c r="K120" s="7" t="s">
        <v>2243</v>
      </c>
      <c r="L120" s="7" t="s">
        <v>2257</v>
      </c>
      <c r="M120" s="7" t="s">
        <v>141</v>
      </c>
      <c r="N120" s="7" t="s">
        <v>239</v>
      </c>
      <c r="O120" s="7" t="s">
        <v>239</v>
      </c>
    </row>
    <row r="121" spans="1:15" ht="87" x14ac:dyDescent="0.35">
      <c r="A121" s="7" t="s">
        <v>2684</v>
      </c>
      <c r="B121" s="7" t="s">
        <v>2685</v>
      </c>
      <c r="C121" s="7" t="s">
        <v>2672</v>
      </c>
      <c r="D121" s="7" t="s">
        <v>940</v>
      </c>
      <c r="E121" s="7" t="s">
        <v>662</v>
      </c>
      <c r="F121" s="7" t="s">
        <v>2258</v>
      </c>
      <c r="G121" s="7" t="s">
        <v>2258</v>
      </c>
      <c r="H121" s="7" t="s">
        <v>2686</v>
      </c>
      <c r="I121" s="7" t="s">
        <v>2675</v>
      </c>
      <c r="J121" s="7" t="s">
        <v>2687</v>
      </c>
      <c r="K121" s="7" t="s">
        <v>2243</v>
      </c>
      <c r="L121" s="7" t="s">
        <v>2257</v>
      </c>
      <c r="M121" s="7" t="s">
        <v>141</v>
      </c>
      <c r="N121" s="7" t="s">
        <v>239</v>
      </c>
      <c r="O121" s="7" t="s">
        <v>239</v>
      </c>
    </row>
    <row r="122" spans="1:15" ht="130.5" x14ac:dyDescent="0.35">
      <c r="A122" s="7" t="s">
        <v>2688</v>
      </c>
      <c r="B122" s="7" t="s">
        <v>2418</v>
      </c>
      <c r="C122" s="7" t="s">
        <v>2679</v>
      </c>
      <c r="D122" s="7" t="s">
        <v>2689</v>
      </c>
      <c r="E122" s="7" t="s">
        <v>662</v>
      </c>
      <c r="F122" s="8" t="s">
        <v>2690</v>
      </c>
      <c r="G122" s="8" t="s">
        <v>2691</v>
      </c>
      <c r="H122" s="7" t="s">
        <v>2692</v>
      </c>
      <c r="I122" s="7" t="s">
        <v>2258</v>
      </c>
      <c r="J122" s="7" t="s">
        <v>950</v>
      </c>
      <c r="K122" s="7" t="s">
        <v>2243</v>
      </c>
      <c r="L122" s="7" t="s">
        <v>2257</v>
      </c>
      <c r="M122" s="7" t="s">
        <v>141</v>
      </c>
      <c r="N122" s="7" t="s">
        <v>239</v>
      </c>
      <c r="O122" s="7" t="s">
        <v>239</v>
      </c>
    </row>
    <row r="123" spans="1:15" ht="101.5" x14ac:dyDescent="0.35">
      <c r="A123" s="7" t="s">
        <v>2693</v>
      </c>
      <c r="B123" s="7" t="s">
        <v>2563</v>
      </c>
      <c r="C123" s="7" t="s">
        <v>2694</v>
      </c>
      <c r="D123" s="7" t="s">
        <v>2695</v>
      </c>
      <c r="E123" s="7" t="s">
        <v>662</v>
      </c>
      <c r="F123" s="7" t="s">
        <v>2696</v>
      </c>
      <c r="G123" s="8" t="s">
        <v>2697</v>
      </c>
      <c r="H123" s="7" t="s">
        <v>2698</v>
      </c>
      <c r="I123" s="7" t="s">
        <v>2378</v>
      </c>
      <c r="J123" s="7" t="s">
        <v>2699</v>
      </c>
      <c r="K123" s="7" t="s">
        <v>2243</v>
      </c>
      <c r="L123" s="7" t="s">
        <v>2257</v>
      </c>
      <c r="M123" s="7" t="s">
        <v>2258</v>
      </c>
      <c r="N123" s="7" t="s">
        <v>239</v>
      </c>
      <c r="O123" s="7" t="s">
        <v>239</v>
      </c>
    </row>
    <row r="124" spans="1:15" ht="87" x14ac:dyDescent="0.35">
      <c r="A124" s="7" t="s">
        <v>2700</v>
      </c>
      <c r="B124" s="7" t="s">
        <v>2418</v>
      </c>
      <c r="C124" s="7" t="s">
        <v>2672</v>
      </c>
      <c r="D124" s="7" t="s">
        <v>2701</v>
      </c>
      <c r="E124" s="7" t="s">
        <v>662</v>
      </c>
      <c r="F124" s="8" t="s">
        <v>2702</v>
      </c>
      <c r="G124" s="7" t="s">
        <v>2258</v>
      </c>
      <c r="H124" s="7" t="s">
        <v>2703</v>
      </c>
      <c r="I124" s="7" t="s">
        <v>2704</v>
      </c>
      <c r="J124" s="7" t="s">
        <v>2705</v>
      </c>
      <c r="K124" s="7" t="s">
        <v>2243</v>
      </c>
      <c r="L124" s="7" t="s">
        <v>2257</v>
      </c>
      <c r="M124" s="7" t="s">
        <v>141</v>
      </c>
      <c r="N124" s="7" t="s">
        <v>239</v>
      </c>
      <c r="O124" s="7" t="s">
        <v>239</v>
      </c>
    </row>
    <row r="125" spans="1:15" ht="101.5" x14ac:dyDescent="0.35">
      <c r="A125" s="7" t="s">
        <v>2706</v>
      </c>
      <c r="B125" s="7" t="s">
        <v>2707</v>
      </c>
      <c r="C125" s="7" t="s">
        <v>2672</v>
      </c>
      <c r="D125" s="7" t="s">
        <v>967</v>
      </c>
      <c r="E125" s="7" t="s">
        <v>662</v>
      </c>
      <c r="F125" s="7" t="s">
        <v>2258</v>
      </c>
      <c r="G125" s="7" t="s">
        <v>2258</v>
      </c>
      <c r="H125" s="7" t="s">
        <v>2708</v>
      </c>
      <c r="I125" s="7" t="s">
        <v>2709</v>
      </c>
      <c r="J125" s="7" t="s">
        <v>2710</v>
      </c>
      <c r="K125" s="7" t="s">
        <v>2243</v>
      </c>
      <c r="L125" s="7" t="s">
        <v>2257</v>
      </c>
      <c r="M125" s="7" t="s">
        <v>141</v>
      </c>
      <c r="N125" s="7" t="s">
        <v>239</v>
      </c>
      <c r="O125" s="7" t="s">
        <v>239</v>
      </c>
    </row>
    <row r="126" spans="1:15" ht="101.5" x14ac:dyDescent="0.35">
      <c r="A126" s="7" t="s">
        <v>970</v>
      </c>
      <c r="B126" s="7" t="s">
        <v>2418</v>
      </c>
      <c r="C126" s="7" t="s">
        <v>2672</v>
      </c>
      <c r="D126" s="7" t="s">
        <v>2711</v>
      </c>
      <c r="E126" s="7" t="s">
        <v>662</v>
      </c>
      <c r="F126" s="7" t="s">
        <v>2258</v>
      </c>
      <c r="G126" s="8" t="s">
        <v>972</v>
      </c>
      <c r="H126" s="7" t="s">
        <v>2712</v>
      </c>
      <c r="I126" s="7" t="s">
        <v>2258</v>
      </c>
      <c r="J126" s="7" t="s">
        <v>882</v>
      </c>
      <c r="K126" s="7" t="s">
        <v>2243</v>
      </c>
      <c r="L126" s="7" t="s">
        <v>2257</v>
      </c>
      <c r="M126" s="7" t="s">
        <v>2258</v>
      </c>
      <c r="N126" s="7" t="s">
        <v>239</v>
      </c>
      <c r="O126" s="7" t="s">
        <v>239</v>
      </c>
    </row>
    <row r="127" spans="1:15" ht="58" x14ac:dyDescent="0.35">
      <c r="A127" s="7" t="s">
        <v>2713</v>
      </c>
      <c r="B127" s="7" t="s">
        <v>2418</v>
      </c>
      <c r="C127" s="7" t="s">
        <v>2672</v>
      </c>
      <c r="D127" s="7" t="s">
        <v>2714</v>
      </c>
      <c r="E127" s="7" t="s">
        <v>662</v>
      </c>
      <c r="F127" s="7" t="s">
        <v>2258</v>
      </c>
      <c r="G127" s="7" t="s">
        <v>2258</v>
      </c>
      <c r="H127" s="7">
        <f>8801977-899987</f>
        <v>7901990</v>
      </c>
      <c r="I127" s="7" t="s">
        <v>2378</v>
      </c>
      <c r="J127" s="7" t="s">
        <v>2715</v>
      </c>
      <c r="K127" s="7" t="s">
        <v>2243</v>
      </c>
      <c r="L127" s="7" t="s">
        <v>2257</v>
      </c>
      <c r="M127" s="7" t="s">
        <v>2258</v>
      </c>
      <c r="N127" s="7" t="s">
        <v>239</v>
      </c>
      <c r="O127" s="7" t="s">
        <v>239</v>
      </c>
    </row>
    <row r="128" spans="1:15" ht="58" x14ac:dyDescent="0.35">
      <c r="A128" s="7" t="s">
        <v>981</v>
      </c>
      <c r="B128" s="7" t="s">
        <v>23</v>
      </c>
      <c r="C128" s="7" t="s">
        <v>2672</v>
      </c>
      <c r="D128" s="7" t="s">
        <v>982</v>
      </c>
      <c r="E128" s="7" t="s">
        <v>662</v>
      </c>
      <c r="F128" s="7" t="s">
        <v>2258</v>
      </c>
      <c r="G128" s="7" t="s">
        <v>2258</v>
      </c>
      <c r="H128" s="7" t="s">
        <v>2716</v>
      </c>
      <c r="I128" s="7" t="s">
        <v>2258</v>
      </c>
      <c r="J128" s="7" t="s">
        <v>2717</v>
      </c>
      <c r="K128" s="7" t="s">
        <v>2243</v>
      </c>
      <c r="L128" s="7" t="s">
        <v>2257</v>
      </c>
      <c r="M128" s="7" t="s">
        <v>2258</v>
      </c>
      <c r="N128" s="7" t="s">
        <v>239</v>
      </c>
      <c r="O128" s="7" t="s">
        <v>239</v>
      </c>
    </row>
    <row r="129" spans="1:15" ht="116" x14ac:dyDescent="0.35">
      <c r="A129" s="7" t="s">
        <v>2718</v>
      </c>
      <c r="B129" s="7" t="s">
        <v>2407</v>
      </c>
      <c r="C129" s="7" t="s">
        <v>2672</v>
      </c>
      <c r="D129" s="7" t="s">
        <v>983</v>
      </c>
      <c r="E129" s="7" t="s">
        <v>662</v>
      </c>
      <c r="F129" s="8" t="s">
        <v>2475</v>
      </c>
      <c r="G129" s="8" t="s">
        <v>984</v>
      </c>
      <c r="H129" s="7">
        <v>1766661124</v>
      </c>
      <c r="I129" s="7" t="s">
        <v>2258</v>
      </c>
      <c r="J129" s="7" t="s">
        <v>2719</v>
      </c>
      <c r="K129" s="7" t="s">
        <v>2243</v>
      </c>
      <c r="L129" s="7" t="s">
        <v>2257</v>
      </c>
      <c r="M129" s="7" t="s">
        <v>2258</v>
      </c>
      <c r="N129" s="7" t="s">
        <v>239</v>
      </c>
      <c r="O129" s="7" t="s">
        <v>239</v>
      </c>
    </row>
    <row r="130" spans="1:15" ht="101.5" x14ac:dyDescent="0.35">
      <c r="A130" s="7" t="s">
        <v>2720</v>
      </c>
      <c r="B130" s="7" t="s">
        <v>2418</v>
      </c>
      <c r="C130" s="7" t="s">
        <v>2672</v>
      </c>
      <c r="D130" s="7" t="s">
        <v>986</v>
      </c>
      <c r="E130" s="7" t="s">
        <v>662</v>
      </c>
      <c r="F130" s="7" t="s">
        <v>2258</v>
      </c>
      <c r="G130" s="7" t="s">
        <v>2258</v>
      </c>
      <c r="H130" s="7" t="s">
        <v>2721</v>
      </c>
      <c r="I130" s="7" t="s">
        <v>2258</v>
      </c>
      <c r="J130" s="7" t="s">
        <v>882</v>
      </c>
      <c r="K130" s="7" t="s">
        <v>2243</v>
      </c>
      <c r="L130" s="7" t="s">
        <v>2257</v>
      </c>
      <c r="M130" s="7" t="s">
        <v>141</v>
      </c>
      <c r="N130" s="7" t="s">
        <v>239</v>
      </c>
      <c r="O130" s="7" t="s">
        <v>239</v>
      </c>
    </row>
    <row r="131" spans="1:15" ht="116" x14ac:dyDescent="0.35">
      <c r="A131" s="7" t="s">
        <v>991</v>
      </c>
      <c r="B131" s="7" t="s">
        <v>2407</v>
      </c>
      <c r="C131" s="7" t="s">
        <v>2672</v>
      </c>
      <c r="D131" s="7" t="s">
        <v>992</v>
      </c>
      <c r="E131" s="7" t="s">
        <v>662</v>
      </c>
      <c r="F131" s="7" t="s">
        <v>2258</v>
      </c>
      <c r="G131" s="8" t="s">
        <v>993</v>
      </c>
      <c r="H131" s="7" t="s">
        <v>2722</v>
      </c>
      <c r="I131" s="7" t="s">
        <v>2378</v>
      </c>
      <c r="J131" s="7" t="s">
        <v>2723</v>
      </c>
      <c r="K131" s="7" t="s">
        <v>2243</v>
      </c>
      <c r="L131" s="7" t="s">
        <v>2257</v>
      </c>
      <c r="M131" s="7" t="s">
        <v>2258</v>
      </c>
      <c r="N131" s="7" t="s">
        <v>239</v>
      </c>
      <c r="O131" s="7" t="s">
        <v>239</v>
      </c>
    </row>
    <row r="132" spans="1:15" ht="101.5" x14ac:dyDescent="0.35">
      <c r="A132" s="7" t="s">
        <v>2724</v>
      </c>
      <c r="B132" s="7" t="s">
        <v>2418</v>
      </c>
      <c r="C132" s="7" t="s">
        <v>2672</v>
      </c>
      <c r="D132" s="7" t="s">
        <v>995</v>
      </c>
      <c r="E132" s="7" t="s">
        <v>662</v>
      </c>
      <c r="F132" s="7" t="s">
        <v>2258</v>
      </c>
      <c r="G132" s="7" t="s">
        <v>2258</v>
      </c>
      <c r="H132" s="7" t="s">
        <v>2725</v>
      </c>
      <c r="I132" s="7" t="s">
        <v>2726</v>
      </c>
      <c r="J132" s="7" t="s">
        <v>2727</v>
      </c>
      <c r="K132" s="7" t="s">
        <v>2243</v>
      </c>
      <c r="L132" s="7" t="s">
        <v>2257</v>
      </c>
      <c r="M132" s="7" t="s">
        <v>2258</v>
      </c>
      <c r="N132" s="7" t="s">
        <v>239</v>
      </c>
      <c r="O132" s="7" t="s">
        <v>239</v>
      </c>
    </row>
    <row r="133" spans="1:15" ht="217.5" x14ac:dyDescent="0.35">
      <c r="A133" s="7" t="s">
        <v>1000</v>
      </c>
      <c r="B133" s="7" t="s">
        <v>2728</v>
      </c>
      <c r="C133" s="7" t="s">
        <v>2679</v>
      </c>
      <c r="D133" s="7" t="s">
        <v>1001</v>
      </c>
      <c r="E133" s="7" t="s">
        <v>662</v>
      </c>
      <c r="F133" s="7" t="s">
        <v>2258</v>
      </c>
      <c r="G133" s="7" t="s">
        <v>2258</v>
      </c>
      <c r="H133" s="7" t="s">
        <v>2729</v>
      </c>
      <c r="I133" s="7" t="s">
        <v>2258</v>
      </c>
      <c r="J133" s="7" t="s">
        <v>950</v>
      </c>
      <c r="K133" s="7" t="s">
        <v>2243</v>
      </c>
      <c r="L133" s="7" t="s">
        <v>2257</v>
      </c>
      <c r="M133" s="7" t="s">
        <v>141</v>
      </c>
      <c r="N133" s="7" t="s">
        <v>239</v>
      </c>
      <c r="O133" s="7" t="s">
        <v>239</v>
      </c>
    </row>
    <row r="134" spans="1:15" ht="130.5" x14ac:dyDescent="0.35">
      <c r="A134" s="7" t="s">
        <v>2730</v>
      </c>
      <c r="B134" s="7" t="s">
        <v>2265</v>
      </c>
      <c r="C134" s="7" t="s">
        <v>2672</v>
      </c>
      <c r="D134" s="7" t="s">
        <v>1005</v>
      </c>
      <c r="E134" s="7" t="s">
        <v>662</v>
      </c>
      <c r="F134" s="8" t="s">
        <v>2731</v>
      </c>
      <c r="G134" s="7" t="s">
        <v>2732</v>
      </c>
      <c r="H134" s="7" t="s">
        <v>2733</v>
      </c>
      <c r="I134" s="7" t="s">
        <v>2258</v>
      </c>
      <c r="J134" s="7" t="s">
        <v>882</v>
      </c>
      <c r="K134" s="7" t="s">
        <v>2243</v>
      </c>
      <c r="L134" s="7" t="s">
        <v>2257</v>
      </c>
      <c r="M134" s="7" t="s">
        <v>141</v>
      </c>
      <c r="N134" s="7" t="s">
        <v>239</v>
      </c>
      <c r="O134" s="7" t="s">
        <v>239</v>
      </c>
    </row>
    <row r="135" spans="1:15" ht="101.5" x14ac:dyDescent="0.35">
      <c r="A135" s="7" t="s">
        <v>2734</v>
      </c>
      <c r="B135" s="7" t="s">
        <v>2265</v>
      </c>
      <c r="C135" s="7" t="s">
        <v>2672</v>
      </c>
      <c r="D135" s="7" t="s">
        <v>2735</v>
      </c>
      <c r="E135" s="7" t="s">
        <v>662</v>
      </c>
      <c r="F135" s="8" t="s">
        <v>2736</v>
      </c>
      <c r="G135" s="8" t="s">
        <v>1013</v>
      </c>
      <c r="H135" s="7" t="s">
        <v>2737</v>
      </c>
      <c r="I135" s="7" t="s">
        <v>2258</v>
      </c>
      <c r="J135" s="7" t="s">
        <v>2717</v>
      </c>
      <c r="K135" s="7" t="s">
        <v>2243</v>
      </c>
      <c r="L135" s="7" t="s">
        <v>2257</v>
      </c>
      <c r="M135" s="7" t="s">
        <v>2258</v>
      </c>
      <c r="N135" s="7" t="s">
        <v>239</v>
      </c>
      <c r="O135" s="7" t="s">
        <v>239</v>
      </c>
    </row>
    <row r="136" spans="1:15" ht="145" x14ac:dyDescent="0.35">
      <c r="A136" s="7" t="s">
        <v>1022</v>
      </c>
      <c r="B136" s="7" t="s">
        <v>2738</v>
      </c>
      <c r="C136" s="7" t="s">
        <v>2739</v>
      </c>
      <c r="D136" s="7" t="s">
        <v>1023</v>
      </c>
      <c r="E136" s="7" t="s">
        <v>662</v>
      </c>
      <c r="F136" s="8" t="s">
        <v>2740</v>
      </c>
      <c r="G136" s="8" t="s">
        <v>2741</v>
      </c>
      <c r="H136" s="7" t="s">
        <v>2742</v>
      </c>
      <c r="I136" s="7" t="s">
        <v>2258</v>
      </c>
      <c r="J136" s="7" t="s">
        <v>882</v>
      </c>
      <c r="K136" s="7" t="s">
        <v>2258</v>
      </c>
      <c r="L136" s="7" t="s">
        <v>2257</v>
      </c>
      <c r="M136" s="7" t="s">
        <v>2258</v>
      </c>
      <c r="N136" s="7" t="s">
        <v>657</v>
      </c>
      <c r="O136" s="7" t="s">
        <v>657</v>
      </c>
    </row>
    <row r="137" spans="1:15" ht="87" x14ac:dyDescent="0.35">
      <c r="A137" s="7" t="s">
        <v>1028</v>
      </c>
      <c r="B137" s="7" t="s">
        <v>2738</v>
      </c>
      <c r="C137" s="7" t="s">
        <v>2739</v>
      </c>
      <c r="D137" s="7" t="s">
        <v>2743</v>
      </c>
      <c r="E137" s="7" t="s">
        <v>662</v>
      </c>
      <c r="F137" s="8" t="s">
        <v>2744</v>
      </c>
      <c r="G137" s="7" t="s">
        <v>2258</v>
      </c>
      <c r="H137" s="7" t="s">
        <v>2745</v>
      </c>
      <c r="I137" s="7" t="s">
        <v>2258</v>
      </c>
      <c r="J137" s="7" t="s">
        <v>882</v>
      </c>
      <c r="K137" s="7" t="s">
        <v>2258</v>
      </c>
      <c r="L137" s="7" t="s">
        <v>2257</v>
      </c>
      <c r="M137" s="7" t="s">
        <v>2258</v>
      </c>
      <c r="N137" s="7" t="s">
        <v>657</v>
      </c>
      <c r="O137" s="7" t="s">
        <v>657</v>
      </c>
    </row>
    <row r="138" spans="1:15" ht="72.5" x14ac:dyDescent="0.35">
      <c r="A138" s="7" t="s">
        <v>2746</v>
      </c>
      <c r="B138" s="7" t="s">
        <v>2738</v>
      </c>
      <c r="C138" s="7" t="s">
        <v>2747</v>
      </c>
      <c r="D138" s="7" t="s">
        <v>1034</v>
      </c>
      <c r="E138" s="7" t="s">
        <v>662</v>
      </c>
      <c r="F138" s="8" t="s">
        <v>2748</v>
      </c>
      <c r="G138" s="7" t="s">
        <v>2258</v>
      </c>
      <c r="H138" s="7" t="s">
        <v>2749</v>
      </c>
      <c r="I138" s="7" t="s">
        <v>2258</v>
      </c>
      <c r="J138" s="7" t="s">
        <v>882</v>
      </c>
      <c r="K138" s="7" t="s">
        <v>2258</v>
      </c>
      <c r="L138" s="7" t="s">
        <v>2257</v>
      </c>
      <c r="M138" s="7" t="s">
        <v>2258</v>
      </c>
      <c r="N138" s="7" t="s">
        <v>657</v>
      </c>
      <c r="O138" s="7" t="s">
        <v>657</v>
      </c>
    </row>
    <row r="139" spans="1:15" ht="87" x14ac:dyDescent="0.35">
      <c r="A139" s="7" t="s">
        <v>1042</v>
      </c>
      <c r="B139" s="7" t="s">
        <v>2738</v>
      </c>
      <c r="C139" s="7" t="s">
        <v>2739</v>
      </c>
      <c r="D139" s="7" t="s">
        <v>1038</v>
      </c>
      <c r="E139" s="7" t="s">
        <v>662</v>
      </c>
      <c r="F139" s="8" t="s">
        <v>2750</v>
      </c>
      <c r="G139" s="7" t="s">
        <v>2258</v>
      </c>
      <c r="H139" s="7" t="s">
        <v>2751</v>
      </c>
      <c r="I139" s="7" t="s">
        <v>2258</v>
      </c>
      <c r="J139" s="7" t="s">
        <v>882</v>
      </c>
      <c r="K139" s="7" t="s">
        <v>2258</v>
      </c>
      <c r="L139" s="7" t="s">
        <v>2257</v>
      </c>
      <c r="M139" s="7" t="s">
        <v>2258</v>
      </c>
      <c r="N139" s="7" t="s">
        <v>657</v>
      </c>
      <c r="O139" s="7" t="s">
        <v>657</v>
      </c>
    </row>
    <row r="140" spans="1:15" ht="145" x14ac:dyDescent="0.35">
      <c r="A140" s="7" t="s">
        <v>2752</v>
      </c>
      <c r="B140" s="7" t="s">
        <v>2265</v>
      </c>
      <c r="C140" s="7" t="s">
        <v>2672</v>
      </c>
      <c r="D140" s="7" t="s">
        <v>1044</v>
      </c>
      <c r="E140" s="7" t="s">
        <v>790</v>
      </c>
      <c r="F140" s="8" t="s">
        <v>2753</v>
      </c>
      <c r="G140" s="8" t="s">
        <v>1045</v>
      </c>
      <c r="H140" s="7" t="s">
        <v>2754</v>
      </c>
      <c r="I140" s="7" t="s">
        <v>2258</v>
      </c>
      <c r="J140" s="7" t="s">
        <v>2755</v>
      </c>
      <c r="K140" s="7" t="s">
        <v>2228</v>
      </c>
      <c r="L140" s="7" t="s">
        <v>2257</v>
      </c>
      <c r="M140" s="7" t="s">
        <v>2258</v>
      </c>
      <c r="N140" s="7" t="s">
        <v>35</v>
      </c>
      <c r="O140" s="7" t="s">
        <v>35</v>
      </c>
    </row>
    <row r="141" spans="1:15" ht="145" x14ac:dyDescent="0.35">
      <c r="A141" s="7" t="s">
        <v>2756</v>
      </c>
      <c r="B141" s="7" t="s">
        <v>2757</v>
      </c>
      <c r="C141" s="7" t="s">
        <v>2758</v>
      </c>
      <c r="D141" s="7" t="s">
        <v>1044</v>
      </c>
      <c r="E141" s="7" t="s">
        <v>790</v>
      </c>
      <c r="F141" s="8" t="s">
        <v>2753</v>
      </c>
      <c r="G141" s="8" t="s">
        <v>1045</v>
      </c>
      <c r="H141" s="7" t="s">
        <v>2754</v>
      </c>
      <c r="I141" s="7" t="s">
        <v>2258</v>
      </c>
      <c r="J141" s="7" t="s">
        <v>2759</v>
      </c>
      <c r="K141" s="7" t="s">
        <v>31</v>
      </c>
      <c r="L141" s="7" t="s">
        <v>2257</v>
      </c>
      <c r="M141" s="7" t="s">
        <v>2258</v>
      </c>
      <c r="N141" s="7" t="s">
        <v>35</v>
      </c>
      <c r="O141" s="7" t="s">
        <v>35</v>
      </c>
    </row>
    <row r="142" spans="1:15" ht="188.5" x14ac:dyDescent="0.35">
      <c r="A142" s="7" t="s">
        <v>2760</v>
      </c>
      <c r="B142" s="7" t="s">
        <v>2289</v>
      </c>
      <c r="C142" s="7" t="s">
        <v>2761</v>
      </c>
      <c r="D142" s="7" t="s">
        <v>1056</v>
      </c>
      <c r="E142" s="7" t="s">
        <v>790</v>
      </c>
      <c r="F142" s="8" t="s">
        <v>2753</v>
      </c>
      <c r="G142" s="8" t="s">
        <v>1057</v>
      </c>
      <c r="H142" s="7">
        <v>1719341435</v>
      </c>
      <c r="I142" s="7" t="s">
        <v>2258</v>
      </c>
      <c r="J142" s="7" t="s">
        <v>2755</v>
      </c>
      <c r="K142" s="7" t="s">
        <v>2228</v>
      </c>
      <c r="L142" s="7" t="s">
        <v>2292</v>
      </c>
      <c r="M142" s="7" t="s">
        <v>2258</v>
      </c>
      <c r="N142" s="7" t="s">
        <v>35</v>
      </c>
      <c r="O142" s="7" t="s">
        <v>35</v>
      </c>
    </row>
    <row r="143" spans="1:15" ht="145" x14ac:dyDescent="0.35">
      <c r="A143" s="7" t="s">
        <v>2762</v>
      </c>
      <c r="B143" s="7" t="s">
        <v>2265</v>
      </c>
      <c r="C143" s="7" t="s">
        <v>2672</v>
      </c>
      <c r="D143" s="7" t="s">
        <v>1064</v>
      </c>
      <c r="E143" s="7" t="s">
        <v>790</v>
      </c>
      <c r="F143" s="8" t="s">
        <v>2763</v>
      </c>
      <c r="G143" s="8" t="s">
        <v>1060</v>
      </c>
      <c r="H143" s="7">
        <v>75164244</v>
      </c>
      <c r="I143" s="7" t="s">
        <v>2258</v>
      </c>
      <c r="J143" s="7" t="s">
        <v>2755</v>
      </c>
      <c r="K143" s="7" t="s">
        <v>2228</v>
      </c>
      <c r="L143" s="7" t="s">
        <v>2257</v>
      </c>
      <c r="M143" s="7" t="s">
        <v>2258</v>
      </c>
      <c r="N143" s="7" t="s">
        <v>35</v>
      </c>
      <c r="O143" s="7" t="s">
        <v>35</v>
      </c>
    </row>
    <row r="144" spans="1:15" ht="188.5" x14ac:dyDescent="0.35">
      <c r="A144" s="7" t="s">
        <v>2764</v>
      </c>
      <c r="B144" s="7" t="s">
        <v>2289</v>
      </c>
      <c r="C144" s="7" t="s">
        <v>2761</v>
      </c>
      <c r="D144" s="7" t="s">
        <v>1059</v>
      </c>
      <c r="E144" s="7" t="s">
        <v>790</v>
      </c>
      <c r="F144" s="8" t="s">
        <v>2763</v>
      </c>
      <c r="G144" s="8" t="s">
        <v>2765</v>
      </c>
      <c r="H144" s="7">
        <v>1733349095</v>
      </c>
      <c r="I144" s="7" t="s">
        <v>2258</v>
      </c>
      <c r="J144" s="7" t="s">
        <v>2766</v>
      </c>
      <c r="K144" s="7" t="s">
        <v>2228</v>
      </c>
      <c r="L144" s="7" t="s">
        <v>2292</v>
      </c>
      <c r="M144" s="7" t="s">
        <v>2258</v>
      </c>
      <c r="N144" s="7" t="s">
        <v>35</v>
      </c>
      <c r="O144" s="7" t="s">
        <v>35</v>
      </c>
    </row>
    <row r="145" spans="1:15" ht="145" x14ac:dyDescent="0.35">
      <c r="A145" s="7" t="s">
        <v>1072</v>
      </c>
      <c r="B145" s="7" t="s">
        <v>2265</v>
      </c>
      <c r="C145" s="7" t="s">
        <v>2672</v>
      </c>
      <c r="D145" s="7" t="s">
        <v>1073</v>
      </c>
      <c r="E145" s="7" t="s">
        <v>790</v>
      </c>
      <c r="F145" s="8" t="s">
        <v>1074</v>
      </c>
      <c r="G145" s="7" t="s">
        <v>2258</v>
      </c>
      <c r="H145" s="7">
        <v>5169965</v>
      </c>
      <c r="I145" s="7" t="s">
        <v>2258</v>
      </c>
      <c r="J145" s="7" t="s">
        <v>2767</v>
      </c>
      <c r="K145" s="7" t="s">
        <v>2228</v>
      </c>
      <c r="L145" s="7" t="s">
        <v>2257</v>
      </c>
      <c r="M145" s="7" t="s">
        <v>2258</v>
      </c>
      <c r="N145" s="7" t="s">
        <v>35</v>
      </c>
      <c r="O145" s="7" t="s">
        <v>35</v>
      </c>
    </row>
    <row r="146" spans="1:15" ht="188.5" x14ac:dyDescent="0.35">
      <c r="A146" s="7" t="s">
        <v>1078</v>
      </c>
      <c r="B146" s="7" t="s">
        <v>2289</v>
      </c>
      <c r="C146" s="7" t="s">
        <v>2761</v>
      </c>
      <c r="D146" s="7" t="s">
        <v>1073</v>
      </c>
      <c r="E146" s="7" t="s">
        <v>790</v>
      </c>
      <c r="F146" s="8" t="s">
        <v>1074</v>
      </c>
      <c r="G146" s="8" t="s">
        <v>1079</v>
      </c>
      <c r="H146" s="7">
        <v>1717198758</v>
      </c>
      <c r="I146" s="7" t="s">
        <v>2258</v>
      </c>
      <c r="J146" s="7" t="s">
        <v>2768</v>
      </c>
      <c r="K146" s="7" t="s">
        <v>2228</v>
      </c>
      <c r="L146" s="7" t="s">
        <v>2292</v>
      </c>
      <c r="M146" s="7" t="s">
        <v>2258</v>
      </c>
      <c r="N146" s="7" t="s">
        <v>35</v>
      </c>
      <c r="O146" s="7" t="s">
        <v>35</v>
      </c>
    </row>
    <row r="147" spans="1:15" ht="159.5" x14ac:dyDescent="0.35">
      <c r="A147" s="7" t="s">
        <v>1081</v>
      </c>
      <c r="B147" s="7" t="s">
        <v>2289</v>
      </c>
      <c r="C147" s="7" t="s">
        <v>2769</v>
      </c>
      <c r="D147" s="7" t="s">
        <v>1082</v>
      </c>
      <c r="E147" s="7" t="s">
        <v>790</v>
      </c>
      <c r="F147" s="7" t="s">
        <v>2258</v>
      </c>
      <c r="G147" s="8" t="s">
        <v>1083</v>
      </c>
      <c r="H147" s="7">
        <v>1756383608</v>
      </c>
      <c r="I147" s="7" t="s">
        <v>2258</v>
      </c>
      <c r="J147" s="7" t="s">
        <v>2770</v>
      </c>
      <c r="K147" s="7" t="s">
        <v>2228</v>
      </c>
      <c r="L147" s="7" t="s">
        <v>2292</v>
      </c>
      <c r="M147" s="7" t="s">
        <v>2258</v>
      </c>
      <c r="N147" s="7" t="s">
        <v>35</v>
      </c>
      <c r="O147" s="7" t="s">
        <v>35</v>
      </c>
    </row>
    <row r="148" spans="1:15" ht="145" x14ac:dyDescent="0.35">
      <c r="A148" s="7" t="s">
        <v>1089</v>
      </c>
      <c r="B148" s="7" t="s">
        <v>2265</v>
      </c>
      <c r="C148" s="7" t="s">
        <v>2672</v>
      </c>
      <c r="D148" s="7" t="s">
        <v>1090</v>
      </c>
      <c r="E148" s="7" t="s">
        <v>790</v>
      </c>
      <c r="F148" s="8" t="s">
        <v>2771</v>
      </c>
      <c r="G148" s="7" t="s">
        <v>2258</v>
      </c>
      <c r="H148" s="7" t="s">
        <v>2772</v>
      </c>
      <c r="I148" s="7" t="s">
        <v>2258</v>
      </c>
      <c r="J148" s="7" t="s">
        <v>2755</v>
      </c>
      <c r="K148" s="7" t="s">
        <v>2228</v>
      </c>
      <c r="L148" s="7" t="s">
        <v>2257</v>
      </c>
      <c r="M148" s="7" t="s">
        <v>2258</v>
      </c>
      <c r="N148" s="7" t="s">
        <v>35</v>
      </c>
      <c r="O148" s="7" t="s">
        <v>35</v>
      </c>
    </row>
    <row r="149" spans="1:15" ht="130.5" x14ac:dyDescent="0.35">
      <c r="A149" s="7" t="s">
        <v>1096</v>
      </c>
      <c r="B149" s="7" t="s">
        <v>2728</v>
      </c>
      <c r="C149" s="7" t="s">
        <v>2773</v>
      </c>
      <c r="D149" s="7" t="s">
        <v>1090</v>
      </c>
      <c r="E149" s="7" t="s">
        <v>790</v>
      </c>
      <c r="F149" s="8" t="s">
        <v>2771</v>
      </c>
      <c r="G149" s="7" t="s">
        <v>2258</v>
      </c>
      <c r="H149" s="7" t="s">
        <v>2774</v>
      </c>
      <c r="I149" s="7" t="s">
        <v>2258</v>
      </c>
      <c r="J149" s="7" t="s">
        <v>2775</v>
      </c>
      <c r="K149" s="7" t="s">
        <v>31</v>
      </c>
      <c r="L149" s="7" t="s">
        <v>2257</v>
      </c>
      <c r="M149" s="7" t="s">
        <v>2258</v>
      </c>
      <c r="N149" s="7" t="s">
        <v>35</v>
      </c>
      <c r="O149" s="7" t="s">
        <v>35</v>
      </c>
    </row>
    <row r="150" spans="1:15" ht="203" x14ac:dyDescent="0.35">
      <c r="A150" s="7" t="s">
        <v>1106</v>
      </c>
      <c r="B150" s="7" t="s">
        <v>2395</v>
      </c>
      <c r="C150" s="7" t="s">
        <v>2776</v>
      </c>
      <c r="D150" s="7" t="s">
        <v>1101</v>
      </c>
      <c r="E150" s="7" t="s">
        <v>790</v>
      </c>
      <c r="F150" s="7" t="s">
        <v>2258</v>
      </c>
      <c r="G150" s="8" t="s">
        <v>2777</v>
      </c>
      <c r="H150" s="7">
        <v>17233420223</v>
      </c>
      <c r="I150" s="7" t="s">
        <v>2778</v>
      </c>
      <c r="J150" s="7" t="s">
        <v>2779</v>
      </c>
      <c r="K150" s="7" t="s">
        <v>31</v>
      </c>
      <c r="L150" s="7" t="s">
        <v>2257</v>
      </c>
      <c r="M150" s="7" t="s">
        <v>2258</v>
      </c>
      <c r="N150" s="7" t="s">
        <v>2345</v>
      </c>
      <c r="O150" s="7" t="s">
        <v>2345</v>
      </c>
    </row>
    <row r="151" spans="1:15" ht="203" x14ac:dyDescent="0.35">
      <c r="A151" s="7" t="s">
        <v>2780</v>
      </c>
      <c r="B151" s="7" t="s">
        <v>2395</v>
      </c>
      <c r="C151" s="7" t="s">
        <v>2781</v>
      </c>
      <c r="D151" s="7" t="s">
        <v>1108</v>
      </c>
      <c r="E151" s="7" t="s">
        <v>790</v>
      </c>
      <c r="F151" s="7" t="s">
        <v>2258</v>
      </c>
      <c r="G151" s="8" t="s">
        <v>1109</v>
      </c>
      <c r="H151" s="7" t="s">
        <v>2782</v>
      </c>
      <c r="I151" s="7" t="s">
        <v>2258</v>
      </c>
      <c r="J151" s="7" t="s">
        <v>2783</v>
      </c>
      <c r="K151" s="7" t="s">
        <v>31</v>
      </c>
      <c r="L151" s="7" t="s">
        <v>2257</v>
      </c>
      <c r="M151" s="7" t="s">
        <v>2258</v>
      </c>
      <c r="N151" s="7" t="s">
        <v>2345</v>
      </c>
      <c r="O151" s="7" t="s">
        <v>2345</v>
      </c>
    </row>
    <row r="152" spans="1:15" ht="188.5" x14ac:dyDescent="0.35">
      <c r="A152" s="7" t="s">
        <v>1114</v>
      </c>
      <c r="B152" s="7" t="s">
        <v>2340</v>
      </c>
      <c r="C152" s="7" t="s">
        <v>2784</v>
      </c>
      <c r="D152" s="7" t="s">
        <v>1115</v>
      </c>
      <c r="E152" s="7" t="s">
        <v>790</v>
      </c>
      <c r="F152" s="7" t="s">
        <v>2258</v>
      </c>
      <c r="G152" s="7" t="s">
        <v>2258</v>
      </c>
      <c r="H152" s="7">
        <v>2588864308</v>
      </c>
      <c r="I152" s="7" t="s">
        <v>2258</v>
      </c>
      <c r="J152" s="7" t="s">
        <v>2785</v>
      </c>
      <c r="K152" s="7" t="s">
        <v>31</v>
      </c>
      <c r="L152" s="7" t="s">
        <v>2257</v>
      </c>
      <c r="M152" s="7" t="s">
        <v>2258</v>
      </c>
      <c r="N152" s="7" t="s">
        <v>2345</v>
      </c>
      <c r="O152" s="7" t="s">
        <v>2345</v>
      </c>
    </row>
    <row r="153" spans="1:15" ht="72.5" x14ac:dyDescent="0.35">
      <c r="A153" s="7" t="s">
        <v>1117</v>
      </c>
      <c r="B153" s="7" t="s">
        <v>2786</v>
      </c>
      <c r="C153" s="7" t="s">
        <v>2672</v>
      </c>
      <c r="D153" s="7" t="s">
        <v>1118</v>
      </c>
      <c r="E153" s="7" t="s">
        <v>790</v>
      </c>
      <c r="F153" s="7" t="s">
        <v>2258</v>
      </c>
      <c r="G153" s="7" t="s">
        <v>2258</v>
      </c>
      <c r="H153" s="7">
        <v>1757848387</v>
      </c>
      <c r="I153" s="7" t="s">
        <v>2787</v>
      </c>
      <c r="J153" s="7" t="s">
        <v>2788</v>
      </c>
      <c r="K153" s="7" t="s">
        <v>2235</v>
      </c>
      <c r="L153" s="7" t="s">
        <v>2257</v>
      </c>
      <c r="M153" s="7" t="s">
        <v>2258</v>
      </c>
      <c r="N153" s="7" t="s">
        <v>239</v>
      </c>
      <c r="O153" s="7" t="s">
        <v>239</v>
      </c>
    </row>
    <row r="154" spans="1:15" ht="58" x14ac:dyDescent="0.35">
      <c r="A154" s="7" t="s">
        <v>2789</v>
      </c>
      <c r="B154" s="7" t="s">
        <v>2407</v>
      </c>
      <c r="C154" s="7" t="s">
        <v>2672</v>
      </c>
      <c r="D154" s="7" t="s">
        <v>1123</v>
      </c>
      <c r="E154" s="7" t="s">
        <v>790</v>
      </c>
      <c r="F154" s="7" t="s">
        <v>2258</v>
      </c>
      <c r="G154" s="7" t="s">
        <v>2258</v>
      </c>
      <c r="H154" s="7">
        <v>1967440594</v>
      </c>
      <c r="I154" s="7" t="s">
        <v>2790</v>
      </c>
      <c r="J154" s="7" t="s">
        <v>2791</v>
      </c>
      <c r="K154" s="7" t="s">
        <v>2235</v>
      </c>
      <c r="L154" s="7" t="s">
        <v>2257</v>
      </c>
      <c r="M154" s="7" t="s">
        <v>2258</v>
      </c>
      <c r="N154" s="7" t="s">
        <v>239</v>
      </c>
      <c r="O154" s="7" t="s">
        <v>239</v>
      </c>
    </row>
    <row r="155" spans="1:15" ht="174" x14ac:dyDescent="0.35">
      <c r="A155" s="7" t="s">
        <v>2792</v>
      </c>
      <c r="B155" s="7" t="s">
        <v>2350</v>
      </c>
      <c r="C155" s="7" t="s">
        <v>2672</v>
      </c>
      <c r="D155" s="7" t="s">
        <v>2793</v>
      </c>
      <c r="E155" s="7" t="s">
        <v>790</v>
      </c>
      <c r="F155" s="7" t="s">
        <v>2258</v>
      </c>
      <c r="G155" s="7" t="s">
        <v>2258</v>
      </c>
      <c r="H155" s="7" t="s">
        <v>2794</v>
      </c>
      <c r="I155" s="7" t="s">
        <v>2795</v>
      </c>
      <c r="J155" s="7" t="s">
        <v>2796</v>
      </c>
      <c r="K155" s="7" t="s">
        <v>2235</v>
      </c>
      <c r="L155" s="7" t="s">
        <v>2257</v>
      </c>
      <c r="M155" s="7" t="s">
        <v>2258</v>
      </c>
      <c r="N155" s="7" t="s">
        <v>239</v>
      </c>
      <c r="O155" s="7" t="s">
        <v>239</v>
      </c>
    </row>
    <row r="156" spans="1:15" ht="87" x14ac:dyDescent="0.35">
      <c r="A156" s="7" t="s">
        <v>2797</v>
      </c>
      <c r="B156" s="7" t="s">
        <v>2418</v>
      </c>
      <c r="C156" s="7" t="s">
        <v>2672</v>
      </c>
      <c r="D156" s="7" t="s">
        <v>2798</v>
      </c>
      <c r="E156" s="7" t="s">
        <v>790</v>
      </c>
      <c r="F156" s="7" t="s">
        <v>2258</v>
      </c>
      <c r="G156" s="7" t="s">
        <v>2258</v>
      </c>
      <c r="H156" s="7" t="s">
        <v>2799</v>
      </c>
      <c r="I156" s="7" t="s">
        <v>2258</v>
      </c>
      <c r="J156" s="7" t="s">
        <v>2800</v>
      </c>
      <c r="K156" s="7" t="s">
        <v>2235</v>
      </c>
      <c r="L156" s="7" t="s">
        <v>2257</v>
      </c>
      <c r="M156" s="7" t="s">
        <v>2258</v>
      </c>
      <c r="N156" s="7" t="s">
        <v>239</v>
      </c>
      <c r="O156" s="7" t="s">
        <v>239</v>
      </c>
    </row>
    <row r="157" spans="1:15" ht="145" x14ac:dyDescent="0.35">
      <c r="A157" s="7" t="s">
        <v>2801</v>
      </c>
      <c r="B157" s="7" t="s">
        <v>2802</v>
      </c>
      <c r="C157" s="7" t="s">
        <v>2672</v>
      </c>
      <c r="D157" s="7" t="s">
        <v>2803</v>
      </c>
      <c r="E157" s="7" t="s">
        <v>790</v>
      </c>
      <c r="F157" s="7" t="s">
        <v>2258</v>
      </c>
      <c r="G157" s="7" t="s">
        <v>2258</v>
      </c>
      <c r="H157" s="7" t="s">
        <v>2804</v>
      </c>
      <c r="I157" s="7" t="s">
        <v>2805</v>
      </c>
      <c r="J157" s="7" t="s">
        <v>2806</v>
      </c>
      <c r="K157" s="7" t="s">
        <v>2235</v>
      </c>
      <c r="L157" s="7" t="s">
        <v>2257</v>
      </c>
      <c r="M157" s="7" t="s">
        <v>2258</v>
      </c>
      <c r="N157" s="7" t="s">
        <v>239</v>
      </c>
      <c r="O157" s="7" t="s">
        <v>239</v>
      </c>
    </row>
    <row r="158" spans="1:15" ht="130.5" x14ac:dyDescent="0.35">
      <c r="A158" s="7" t="s">
        <v>2807</v>
      </c>
      <c r="B158" s="7" t="s">
        <v>2808</v>
      </c>
      <c r="C158" s="7" t="s">
        <v>2809</v>
      </c>
      <c r="D158" s="7" t="s">
        <v>2810</v>
      </c>
      <c r="E158" s="7" t="s">
        <v>790</v>
      </c>
      <c r="F158" s="7" t="s">
        <v>2258</v>
      </c>
      <c r="G158" s="7" t="s">
        <v>2258</v>
      </c>
      <c r="H158" s="7">
        <v>1713640087</v>
      </c>
      <c r="I158" s="7" t="s">
        <v>2787</v>
      </c>
      <c r="J158" s="7" t="s">
        <v>2811</v>
      </c>
      <c r="K158" s="7" t="s">
        <v>2236</v>
      </c>
      <c r="L158" s="7" t="s">
        <v>2257</v>
      </c>
      <c r="M158" s="7" t="s">
        <v>2258</v>
      </c>
      <c r="N158" s="7" t="s">
        <v>239</v>
      </c>
      <c r="O158" s="7" t="s">
        <v>239</v>
      </c>
    </row>
    <row r="159" spans="1:15" ht="101.5" x14ac:dyDescent="0.35">
      <c r="A159" s="7" t="s">
        <v>1146</v>
      </c>
      <c r="B159" s="7" t="s">
        <v>2265</v>
      </c>
      <c r="C159" s="7" t="s">
        <v>2672</v>
      </c>
      <c r="D159" s="7" t="s">
        <v>2812</v>
      </c>
      <c r="E159" s="7" t="s">
        <v>790</v>
      </c>
      <c r="F159" s="8" t="s">
        <v>2813</v>
      </c>
      <c r="G159" s="7" t="s">
        <v>2258</v>
      </c>
      <c r="H159" s="7">
        <v>1716291681</v>
      </c>
      <c r="I159" s="7" t="s">
        <v>2258</v>
      </c>
      <c r="J159" s="7" t="s">
        <v>2814</v>
      </c>
      <c r="K159" s="7" t="s">
        <v>2237</v>
      </c>
      <c r="L159" s="7" t="s">
        <v>2257</v>
      </c>
      <c r="M159" s="7" t="s">
        <v>2258</v>
      </c>
      <c r="N159" s="7" t="s">
        <v>239</v>
      </c>
      <c r="O159" s="7" t="s">
        <v>239</v>
      </c>
    </row>
    <row r="160" spans="1:15" ht="174" x14ac:dyDescent="0.35">
      <c r="A160" s="7" t="s">
        <v>2815</v>
      </c>
      <c r="B160" s="7" t="s">
        <v>2816</v>
      </c>
      <c r="C160" s="7" t="s">
        <v>2809</v>
      </c>
      <c r="D160" s="7" t="s">
        <v>2817</v>
      </c>
      <c r="E160" s="7" t="s">
        <v>790</v>
      </c>
      <c r="F160" s="8" t="s">
        <v>2818</v>
      </c>
      <c r="G160" s="7" t="s">
        <v>2258</v>
      </c>
      <c r="H160" s="7" t="s">
        <v>2819</v>
      </c>
      <c r="I160" s="7" t="s">
        <v>2820</v>
      </c>
      <c r="J160" s="7" t="s">
        <v>2821</v>
      </c>
      <c r="K160" s="7" t="s">
        <v>2238</v>
      </c>
      <c r="L160" s="7" t="s">
        <v>2257</v>
      </c>
      <c r="M160" s="7" t="s">
        <v>141</v>
      </c>
      <c r="N160" s="7" t="s">
        <v>239</v>
      </c>
      <c r="O160" s="7" t="s">
        <v>239</v>
      </c>
    </row>
    <row r="161" spans="1:15" ht="101.5" x14ac:dyDescent="0.35">
      <c r="A161" s="7" t="s">
        <v>2822</v>
      </c>
      <c r="B161" s="7" t="s">
        <v>2823</v>
      </c>
      <c r="C161" s="7" t="s">
        <v>2672</v>
      </c>
      <c r="D161" s="7" t="s">
        <v>1156</v>
      </c>
      <c r="E161" s="7" t="s">
        <v>790</v>
      </c>
      <c r="F161" s="8" t="s">
        <v>2824</v>
      </c>
      <c r="G161" s="7" t="s">
        <v>2258</v>
      </c>
      <c r="H161" s="7" t="s">
        <v>2825</v>
      </c>
      <c r="I161" s="7" t="s">
        <v>2258</v>
      </c>
      <c r="J161" s="7" t="s">
        <v>2826</v>
      </c>
      <c r="K161" s="7" t="s">
        <v>2236</v>
      </c>
      <c r="L161" s="7" t="s">
        <v>2257</v>
      </c>
      <c r="M161" s="7" t="s">
        <v>2258</v>
      </c>
      <c r="N161" s="7" t="s">
        <v>239</v>
      </c>
      <c r="O161" s="7" t="s">
        <v>239</v>
      </c>
    </row>
    <row r="162" spans="1:15" ht="87" x14ac:dyDescent="0.35">
      <c r="A162" s="7" t="s">
        <v>1161</v>
      </c>
      <c r="B162" s="7" t="s">
        <v>2350</v>
      </c>
      <c r="C162" s="7" t="s">
        <v>2827</v>
      </c>
      <c r="D162" s="7" t="s">
        <v>1163</v>
      </c>
      <c r="E162" s="7" t="s">
        <v>790</v>
      </c>
      <c r="F162" s="7" t="s">
        <v>2258</v>
      </c>
      <c r="G162" s="8" t="s">
        <v>2828</v>
      </c>
      <c r="H162" s="7">
        <v>1710322449</v>
      </c>
      <c r="I162" s="7" t="s">
        <v>2258</v>
      </c>
      <c r="J162" s="7" t="s">
        <v>2829</v>
      </c>
      <c r="K162" s="7" t="s">
        <v>2235</v>
      </c>
      <c r="L162" s="7" t="s">
        <v>2257</v>
      </c>
      <c r="M162" s="7" t="s">
        <v>2258</v>
      </c>
      <c r="N162" s="7" t="s">
        <v>239</v>
      </c>
      <c r="O162" s="7" t="s">
        <v>239</v>
      </c>
    </row>
    <row r="163" spans="1:15" ht="174" x14ac:dyDescent="0.35">
      <c r="A163" s="7" t="s">
        <v>2830</v>
      </c>
      <c r="B163" s="7" t="s">
        <v>2384</v>
      </c>
      <c r="C163" s="7" t="s">
        <v>2831</v>
      </c>
      <c r="D163" s="7" t="s">
        <v>1169</v>
      </c>
      <c r="E163" s="7" t="s">
        <v>790</v>
      </c>
      <c r="F163" s="7" t="s">
        <v>2258</v>
      </c>
      <c r="G163" s="8" t="s">
        <v>2832</v>
      </c>
      <c r="H163" s="7" t="s">
        <v>2833</v>
      </c>
      <c r="I163" s="7" t="s">
        <v>2834</v>
      </c>
      <c r="J163" s="7" t="s">
        <v>2258</v>
      </c>
      <c r="K163" s="7" t="s">
        <v>2239</v>
      </c>
      <c r="L163" s="7" t="s">
        <v>2257</v>
      </c>
      <c r="M163" s="7" t="s">
        <v>2258</v>
      </c>
      <c r="N163" s="7" t="s">
        <v>239</v>
      </c>
      <c r="O163" s="7" t="s">
        <v>239</v>
      </c>
    </row>
    <row r="164" spans="1:15" ht="174" x14ac:dyDescent="0.35">
      <c r="A164" s="7" t="s">
        <v>2835</v>
      </c>
      <c r="B164" s="7" t="s">
        <v>2384</v>
      </c>
      <c r="C164" s="7" t="s">
        <v>2831</v>
      </c>
      <c r="D164" s="7" t="s">
        <v>2836</v>
      </c>
      <c r="E164" s="7" t="s">
        <v>790</v>
      </c>
      <c r="F164" s="8" t="s">
        <v>2837</v>
      </c>
      <c r="G164" s="8" t="s">
        <v>1177</v>
      </c>
      <c r="H164" s="7">
        <v>1715004254</v>
      </c>
      <c r="I164" s="7" t="s">
        <v>2834</v>
      </c>
      <c r="J164" s="7" t="s">
        <v>2010</v>
      </c>
      <c r="K164" s="7" t="s">
        <v>1179</v>
      </c>
      <c r="L164" s="7" t="s">
        <v>2257</v>
      </c>
      <c r="M164" s="7" t="s">
        <v>141</v>
      </c>
      <c r="N164" s="7" t="s">
        <v>239</v>
      </c>
      <c r="O164" s="7" t="s">
        <v>239</v>
      </c>
    </row>
    <row r="165" spans="1:15" ht="72.5" x14ac:dyDescent="0.35">
      <c r="A165" s="7" t="s">
        <v>2838</v>
      </c>
      <c r="B165" s="7" t="s">
        <v>2526</v>
      </c>
      <c r="C165" s="7" t="s">
        <v>2809</v>
      </c>
      <c r="D165" s="7" t="s">
        <v>1181</v>
      </c>
      <c r="E165" s="7" t="s">
        <v>790</v>
      </c>
      <c r="F165" s="7" t="s">
        <v>2258</v>
      </c>
      <c r="G165" s="8" t="s">
        <v>2839</v>
      </c>
      <c r="H165" s="7">
        <v>1711666655</v>
      </c>
      <c r="I165" s="7" t="s">
        <v>2258</v>
      </c>
      <c r="J165" s="7" t="s">
        <v>2840</v>
      </c>
      <c r="K165" s="7" t="s">
        <v>2240</v>
      </c>
      <c r="L165" s="7" t="s">
        <v>2257</v>
      </c>
      <c r="M165" s="7" t="s">
        <v>2258</v>
      </c>
      <c r="N165" s="7" t="s">
        <v>239</v>
      </c>
      <c r="O165" s="7" t="s">
        <v>239</v>
      </c>
    </row>
    <row r="166" spans="1:15" ht="101.5" x14ac:dyDescent="0.35">
      <c r="A166" s="7" t="s">
        <v>2841</v>
      </c>
      <c r="B166" s="7" t="s">
        <v>2671</v>
      </c>
      <c r="C166" s="7" t="s">
        <v>2672</v>
      </c>
      <c r="D166" s="7" t="s">
        <v>2842</v>
      </c>
      <c r="E166" s="7" t="s">
        <v>790</v>
      </c>
      <c r="F166" s="8" t="s">
        <v>2843</v>
      </c>
      <c r="G166" s="7" t="s">
        <v>2258</v>
      </c>
      <c r="H166" s="7" t="s">
        <v>2844</v>
      </c>
      <c r="I166" s="7" t="s">
        <v>2255</v>
      </c>
      <c r="J166" s="7" t="s">
        <v>2845</v>
      </c>
      <c r="K166" s="7" t="s">
        <v>2240</v>
      </c>
      <c r="L166" s="7" t="s">
        <v>2257</v>
      </c>
      <c r="M166" s="7" t="s">
        <v>2258</v>
      </c>
      <c r="N166" s="7" t="s">
        <v>239</v>
      </c>
      <c r="O166" s="7" t="s">
        <v>239</v>
      </c>
    </row>
    <row r="167" spans="1:15" ht="116" x14ac:dyDescent="0.35">
      <c r="A167" s="7" t="s">
        <v>2846</v>
      </c>
      <c r="B167" s="7" t="s">
        <v>2847</v>
      </c>
      <c r="C167" s="7" t="s">
        <v>2672</v>
      </c>
      <c r="D167" s="7" t="s">
        <v>2848</v>
      </c>
      <c r="E167" s="7" t="s">
        <v>790</v>
      </c>
      <c r="F167" s="8" t="s">
        <v>2849</v>
      </c>
      <c r="G167" s="8" t="s">
        <v>2850</v>
      </c>
      <c r="H167" s="7" t="s">
        <v>2851</v>
      </c>
      <c r="I167" s="7" t="s">
        <v>2852</v>
      </c>
      <c r="J167" s="7" t="s">
        <v>2853</v>
      </c>
      <c r="K167" s="7" t="s">
        <v>2240</v>
      </c>
      <c r="L167" s="7" t="s">
        <v>2257</v>
      </c>
      <c r="M167" s="7" t="s">
        <v>2258</v>
      </c>
      <c r="N167" s="7" t="s">
        <v>239</v>
      </c>
      <c r="O167" s="7" t="s">
        <v>239</v>
      </c>
    </row>
    <row r="168" spans="1:15" ht="72.5" x14ac:dyDescent="0.35">
      <c r="A168" s="7" t="s">
        <v>1202</v>
      </c>
      <c r="B168" s="7" t="s">
        <v>2350</v>
      </c>
      <c r="C168" s="7" t="s">
        <v>2672</v>
      </c>
      <c r="D168" s="7" t="s">
        <v>2854</v>
      </c>
      <c r="E168" s="7" t="s">
        <v>790</v>
      </c>
      <c r="F168" s="8" t="s">
        <v>2855</v>
      </c>
      <c r="G168" s="8" t="s">
        <v>2855</v>
      </c>
      <c r="H168" s="7" t="s">
        <v>2856</v>
      </c>
      <c r="I168" s="7" t="s">
        <v>2675</v>
      </c>
      <c r="J168" s="7" t="s">
        <v>2857</v>
      </c>
      <c r="K168" s="7" t="s">
        <v>2235</v>
      </c>
      <c r="L168" s="7" t="s">
        <v>2257</v>
      </c>
      <c r="M168" s="7" t="s">
        <v>2258</v>
      </c>
      <c r="N168" s="7" t="s">
        <v>239</v>
      </c>
      <c r="O168" s="7" t="s">
        <v>239</v>
      </c>
    </row>
    <row r="169" spans="1:15" ht="58" x14ac:dyDescent="0.35">
      <c r="A169" s="7" t="s">
        <v>2858</v>
      </c>
      <c r="B169" s="7" t="s">
        <v>2526</v>
      </c>
      <c r="C169" s="7" t="s">
        <v>2672</v>
      </c>
      <c r="D169" s="7" t="s">
        <v>1208</v>
      </c>
      <c r="E169" s="7" t="s">
        <v>790</v>
      </c>
      <c r="F169" s="8" t="s">
        <v>2859</v>
      </c>
      <c r="G169" s="7" t="s">
        <v>2258</v>
      </c>
      <c r="H169" s="7">
        <v>9613787812</v>
      </c>
      <c r="I169" s="7" t="s">
        <v>2258</v>
      </c>
      <c r="J169" s="7" t="s">
        <v>2845</v>
      </c>
      <c r="K169" s="7" t="s">
        <v>2235</v>
      </c>
      <c r="L169" s="7" t="s">
        <v>2257</v>
      </c>
      <c r="M169" s="7" t="s">
        <v>2258</v>
      </c>
      <c r="N169" s="7" t="s">
        <v>239</v>
      </c>
      <c r="O169" s="7" t="s">
        <v>239</v>
      </c>
    </row>
    <row r="170" spans="1:15" ht="116" x14ac:dyDescent="0.35">
      <c r="A170" s="7" t="s">
        <v>2860</v>
      </c>
      <c r="B170" s="7" t="s">
        <v>2526</v>
      </c>
      <c r="C170" s="7" t="s">
        <v>2672</v>
      </c>
      <c r="D170" s="7" t="s">
        <v>2861</v>
      </c>
      <c r="E170" s="7" t="s">
        <v>790</v>
      </c>
      <c r="F170" s="8" t="s">
        <v>2862</v>
      </c>
      <c r="G170" s="8" t="s">
        <v>1214</v>
      </c>
      <c r="H170" s="7">
        <v>1766661140</v>
      </c>
      <c r="I170" s="7" t="s">
        <v>2863</v>
      </c>
      <c r="J170" s="7" t="s">
        <v>2840</v>
      </c>
      <c r="K170" s="7" t="s">
        <v>2241</v>
      </c>
      <c r="L170" s="7" t="s">
        <v>2257</v>
      </c>
      <c r="M170" s="7" t="s">
        <v>2258</v>
      </c>
      <c r="N170" s="7" t="s">
        <v>239</v>
      </c>
      <c r="O170" s="7" t="s">
        <v>239</v>
      </c>
    </row>
    <row r="171" spans="1:15" ht="72.5" x14ac:dyDescent="0.35">
      <c r="A171" s="7" t="s">
        <v>2864</v>
      </c>
      <c r="B171" s="7" t="s">
        <v>2350</v>
      </c>
      <c r="C171" s="7" t="s">
        <v>2672</v>
      </c>
      <c r="D171" s="7" t="s">
        <v>1220</v>
      </c>
      <c r="E171" s="7" t="s">
        <v>790</v>
      </c>
      <c r="F171" s="8" t="s">
        <v>2865</v>
      </c>
      <c r="G171" s="7" t="s">
        <v>2258</v>
      </c>
      <c r="H171" s="7" t="s">
        <v>2866</v>
      </c>
      <c r="I171" s="7" t="s">
        <v>2795</v>
      </c>
      <c r="J171" s="7" t="s">
        <v>2867</v>
      </c>
      <c r="K171" s="7" t="s">
        <v>2235</v>
      </c>
      <c r="L171" s="7" t="s">
        <v>2257</v>
      </c>
      <c r="M171" s="7" t="s">
        <v>2258</v>
      </c>
      <c r="N171" s="7" t="s">
        <v>239</v>
      </c>
      <c r="O171" s="7" t="s">
        <v>239</v>
      </c>
    </row>
    <row r="172" spans="1:15" ht="101.5" x14ac:dyDescent="0.35">
      <c r="A172" s="7" t="s">
        <v>2868</v>
      </c>
      <c r="B172" s="7" t="s">
        <v>2418</v>
      </c>
      <c r="C172" s="7" t="s">
        <v>2672</v>
      </c>
      <c r="D172" s="7" t="s">
        <v>1226</v>
      </c>
      <c r="E172" s="7" t="s">
        <v>790</v>
      </c>
      <c r="F172" s="7" t="s">
        <v>2258</v>
      </c>
      <c r="G172" s="8" t="s">
        <v>2869</v>
      </c>
      <c r="H172" s="7" t="s">
        <v>2870</v>
      </c>
      <c r="I172" s="7" t="s">
        <v>2675</v>
      </c>
      <c r="J172" s="7" t="s">
        <v>2871</v>
      </c>
      <c r="K172" s="7" t="s">
        <v>2235</v>
      </c>
      <c r="L172" s="7" t="s">
        <v>2257</v>
      </c>
      <c r="M172" s="7" t="s">
        <v>2258</v>
      </c>
      <c r="N172" s="7" t="s">
        <v>239</v>
      </c>
      <c r="O172" s="7" t="s">
        <v>239</v>
      </c>
    </row>
    <row r="173" spans="1:15" ht="87" x14ac:dyDescent="0.35">
      <c r="A173" s="7" t="s">
        <v>2872</v>
      </c>
      <c r="B173" s="7" t="s">
        <v>2873</v>
      </c>
      <c r="C173" s="7" t="s">
        <v>2874</v>
      </c>
      <c r="D173" s="7" t="s">
        <v>2875</v>
      </c>
      <c r="E173" s="7" t="s">
        <v>790</v>
      </c>
      <c r="F173" s="7" t="s">
        <v>2258</v>
      </c>
      <c r="G173" s="7" t="s">
        <v>2258</v>
      </c>
      <c r="H173" s="7" t="s">
        <v>2876</v>
      </c>
      <c r="I173" s="7" t="s">
        <v>2877</v>
      </c>
      <c r="J173" s="7" t="s">
        <v>2845</v>
      </c>
      <c r="K173" s="7" t="s">
        <v>2236</v>
      </c>
      <c r="L173" s="7" t="s">
        <v>2257</v>
      </c>
      <c r="M173" s="7" t="s">
        <v>2258</v>
      </c>
      <c r="N173" s="7" t="s">
        <v>239</v>
      </c>
      <c r="O173" s="7" t="s">
        <v>239</v>
      </c>
    </row>
    <row r="174" spans="1:15" ht="87" x14ac:dyDescent="0.35">
      <c r="A174" s="7" t="s">
        <v>2878</v>
      </c>
      <c r="B174" s="7" t="s">
        <v>2879</v>
      </c>
      <c r="C174" s="7" t="s">
        <v>2672</v>
      </c>
      <c r="D174" s="7" t="s">
        <v>2880</v>
      </c>
      <c r="E174" s="7" t="s">
        <v>790</v>
      </c>
      <c r="F174" s="7" t="s">
        <v>2258</v>
      </c>
      <c r="G174" s="8" t="s">
        <v>2881</v>
      </c>
      <c r="H174" s="7">
        <v>1719009087</v>
      </c>
      <c r="I174" s="7" t="s">
        <v>2675</v>
      </c>
      <c r="J174" s="7" t="s">
        <v>2882</v>
      </c>
      <c r="K174" s="7" t="s">
        <v>2235</v>
      </c>
      <c r="L174" s="7" t="s">
        <v>2257</v>
      </c>
      <c r="M174" s="7" t="s">
        <v>2258</v>
      </c>
      <c r="N174" s="7" t="s">
        <v>239</v>
      </c>
      <c r="O174" s="7" t="s">
        <v>239</v>
      </c>
    </row>
    <row r="175" spans="1:15" ht="101.5" x14ac:dyDescent="0.35">
      <c r="A175" s="7" t="s">
        <v>2883</v>
      </c>
      <c r="B175" s="7" t="s">
        <v>2884</v>
      </c>
      <c r="C175" s="7" t="s">
        <v>2672</v>
      </c>
      <c r="D175" s="7" t="s">
        <v>1245</v>
      </c>
      <c r="E175" s="7" t="s">
        <v>790</v>
      </c>
      <c r="F175" s="7" t="s">
        <v>2258</v>
      </c>
      <c r="G175" s="7" t="s">
        <v>2258</v>
      </c>
      <c r="H175" s="7">
        <v>1737374012</v>
      </c>
      <c r="I175" s="7" t="s">
        <v>2258</v>
      </c>
      <c r="J175" s="7" t="s">
        <v>2885</v>
      </c>
      <c r="K175" s="7" t="s">
        <v>2235</v>
      </c>
      <c r="L175" s="7" t="s">
        <v>2257</v>
      </c>
      <c r="M175" s="7" t="s">
        <v>2258</v>
      </c>
      <c r="N175" s="7" t="s">
        <v>239</v>
      </c>
      <c r="O175" s="7" t="s">
        <v>239</v>
      </c>
    </row>
    <row r="176" spans="1:15" ht="72.5" x14ac:dyDescent="0.35">
      <c r="A176" s="7" t="s">
        <v>2886</v>
      </c>
      <c r="B176" s="7" t="s">
        <v>2526</v>
      </c>
      <c r="C176" s="7" t="s">
        <v>2672</v>
      </c>
      <c r="D176" s="7" t="s">
        <v>1251</v>
      </c>
      <c r="E176" s="7" t="s">
        <v>790</v>
      </c>
      <c r="F176" s="8" t="s">
        <v>2887</v>
      </c>
      <c r="G176" s="8" t="s">
        <v>1252</v>
      </c>
      <c r="H176" s="7">
        <v>9666787811</v>
      </c>
      <c r="I176" s="7" t="s">
        <v>2795</v>
      </c>
      <c r="J176" s="7" t="s">
        <v>2845</v>
      </c>
      <c r="K176" s="7" t="s">
        <v>2242</v>
      </c>
      <c r="L176" s="7" t="s">
        <v>2257</v>
      </c>
      <c r="M176" s="7" t="s">
        <v>2258</v>
      </c>
      <c r="N176" s="7" t="s">
        <v>239</v>
      </c>
      <c r="O176" s="7" t="s">
        <v>239</v>
      </c>
    </row>
    <row r="177" spans="1:15" ht="145" x14ac:dyDescent="0.35">
      <c r="A177" s="7" t="s">
        <v>2888</v>
      </c>
      <c r="B177" s="7" t="s">
        <v>2265</v>
      </c>
      <c r="C177" s="7" t="s">
        <v>2672</v>
      </c>
      <c r="D177" s="7" t="s">
        <v>2889</v>
      </c>
      <c r="E177" s="7" t="s">
        <v>1275</v>
      </c>
      <c r="F177" s="8" t="s">
        <v>2890</v>
      </c>
      <c r="G177" s="8" t="s">
        <v>1276</v>
      </c>
      <c r="H177" s="7" t="s">
        <v>2891</v>
      </c>
      <c r="I177" s="7" t="s">
        <v>2258</v>
      </c>
      <c r="J177" s="7" t="s">
        <v>2892</v>
      </c>
      <c r="K177" s="7" t="s">
        <v>2228</v>
      </c>
      <c r="L177" s="7" t="s">
        <v>2257</v>
      </c>
      <c r="M177" s="7" t="s">
        <v>2258</v>
      </c>
      <c r="N177" s="7" t="s">
        <v>35</v>
      </c>
      <c r="O177" s="7" t="s">
        <v>35</v>
      </c>
    </row>
    <row r="178" spans="1:15" ht="188.5" x14ac:dyDescent="0.35">
      <c r="A178" s="7" t="s">
        <v>2893</v>
      </c>
      <c r="B178" s="7" t="s">
        <v>2289</v>
      </c>
      <c r="C178" s="7" t="s">
        <v>2761</v>
      </c>
      <c r="D178" s="7" t="s">
        <v>1283</v>
      </c>
      <c r="E178" s="7" t="s">
        <v>1275</v>
      </c>
      <c r="F178" s="7" t="s">
        <v>2258</v>
      </c>
      <c r="G178" s="8" t="s">
        <v>1284</v>
      </c>
      <c r="H178" s="7">
        <v>1733349680</v>
      </c>
      <c r="I178" s="7" t="s">
        <v>2258</v>
      </c>
      <c r="J178" s="7" t="s">
        <v>2894</v>
      </c>
      <c r="K178" s="7" t="s">
        <v>2228</v>
      </c>
      <c r="L178" s="7" t="s">
        <v>2292</v>
      </c>
      <c r="M178" s="7" t="s">
        <v>2258</v>
      </c>
      <c r="N178" s="7" t="s">
        <v>35</v>
      </c>
      <c r="O178" s="7" t="s">
        <v>35</v>
      </c>
    </row>
    <row r="179" spans="1:15" ht="130.5" x14ac:dyDescent="0.35">
      <c r="A179" s="7" t="s">
        <v>2895</v>
      </c>
      <c r="B179" s="7" t="s">
        <v>2286</v>
      </c>
      <c r="C179" s="7" t="s">
        <v>2896</v>
      </c>
      <c r="D179" s="7" t="s">
        <v>2897</v>
      </c>
      <c r="E179" s="7" t="s">
        <v>1275</v>
      </c>
      <c r="F179" s="7" t="s">
        <v>2258</v>
      </c>
      <c r="G179" s="7" t="s">
        <v>2898</v>
      </c>
      <c r="H179" s="7">
        <v>1713366638</v>
      </c>
      <c r="I179" s="7" t="s">
        <v>2258</v>
      </c>
      <c r="J179" s="7" t="s">
        <v>2899</v>
      </c>
      <c r="K179" s="7" t="s">
        <v>2228</v>
      </c>
      <c r="L179" s="7" t="s">
        <v>2257</v>
      </c>
      <c r="M179" s="7" t="s">
        <v>2258</v>
      </c>
      <c r="N179" s="7" t="s">
        <v>35</v>
      </c>
      <c r="O179" s="7" t="s">
        <v>35</v>
      </c>
    </row>
    <row r="180" spans="1:15" ht="145" x14ac:dyDescent="0.35">
      <c r="A180" s="7" t="s">
        <v>2900</v>
      </c>
      <c r="B180" s="7" t="s">
        <v>2265</v>
      </c>
      <c r="C180" s="7" t="s">
        <v>2672</v>
      </c>
      <c r="D180" s="7" t="s">
        <v>1292</v>
      </c>
      <c r="E180" s="7" t="s">
        <v>1275</v>
      </c>
      <c r="F180" s="8" t="s">
        <v>2901</v>
      </c>
      <c r="G180" s="8" t="s">
        <v>1293</v>
      </c>
      <c r="H180" s="7" t="s">
        <v>2902</v>
      </c>
      <c r="I180" s="7" t="s">
        <v>2258</v>
      </c>
      <c r="J180" s="7" t="s">
        <v>2894</v>
      </c>
      <c r="K180" s="7" t="s">
        <v>2228</v>
      </c>
      <c r="L180" s="7" t="s">
        <v>2257</v>
      </c>
      <c r="M180" s="7" t="s">
        <v>2258</v>
      </c>
      <c r="N180" s="7" t="s">
        <v>35</v>
      </c>
      <c r="O180" s="7" t="s">
        <v>35</v>
      </c>
    </row>
    <row r="181" spans="1:15" ht="174" x14ac:dyDescent="0.35">
      <c r="A181" s="7" t="s">
        <v>1298</v>
      </c>
      <c r="B181" s="7" t="s">
        <v>2289</v>
      </c>
      <c r="C181" s="7" t="s">
        <v>2903</v>
      </c>
      <c r="D181" s="7" t="s">
        <v>1299</v>
      </c>
      <c r="E181" s="7" t="s">
        <v>1275</v>
      </c>
      <c r="F181" s="7" t="s">
        <v>2258</v>
      </c>
      <c r="G181" s="8" t="s">
        <v>1293</v>
      </c>
      <c r="H181" s="7" t="s">
        <v>2902</v>
      </c>
      <c r="I181" s="7" t="s">
        <v>2258</v>
      </c>
      <c r="J181" s="7" t="s">
        <v>2894</v>
      </c>
      <c r="K181" s="7" t="s">
        <v>2228</v>
      </c>
      <c r="L181" s="7" t="s">
        <v>2292</v>
      </c>
      <c r="M181" s="7" t="s">
        <v>2258</v>
      </c>
      <c r="N181" s="7" t="s">
        <v>35</v>
      </c>
      <c r="O181" s="7" t="s">
        <v>35</v>
      </c>
    </row>
    <row r="182" spans="1:15" ht="87" x14ac:dyDescent="0.35">
      <c r="A182" s="7" t="s">
        <v>2904</v>
      </c>
      <c r="B182" s="7" t="s">
        <v>2418</v>
      </c>
      <c r="C182" s="7" t="s">
        <v>2672</v>
      </c>
      <c r="D182" s="7" t="s">
        <v>2905</v>
      </c>
      <c r="E182" s="7" t="s">
        <v>1275</v>
      </c>
      <c r="F182" s="7" t="s">
        <v>2258</v>
      </c>
      <c r="G182" s="7" t="s">
        <v>2258</v>
      </c>
      <c r="H182" s="7" t="s">
        <v>2906</v>
      </c>
      <c r="I182" s="7" t="s">
        <v>2675</v>
      </c>
      <c r="J182" s="7" t="s">
        <v>2676</v>
      </c>
      <c r="K182" s="7" t="s">
        <v>2243</v>
      </c>
      <c r="L182" s="7" t="s">
        <v>2257</v>
      </c>
      <c r="M182" s="7" t="s">
        <v>2258</v>
      </c>
      <c r="N182" s="7" t="s">
        <v>239</v>
      </c>
      <c r="O182" s="7" t="s">
        <v>239</v>
      </c>
    </row>
    <row r="183" spans="1:15" ht="159.5" x14ac:dyDescent="0.35">
      <c r="A183" s="7" t="s">
        <v>2907</v>
      </c>
      <c r="B183" s="7" t="s">
        <v>2526</v>
      </c>
      <c r="C183" s="7" t="s">
        <v>2672</v>
      </c>
      <c r="D183" s="7" t="s">
        <v>2908</v>
      </c>
      <c r="E183" s="7" t="s">
        <v>1275</v>
      </c>
      <c r="F183" s="8" t="s">
        <v>2909</v>
      </c>
      <c r="G183" s="8" t="s">
        <v>803</v>
      </c>
      <c r="H183" s="7" t="s">
        <v>2910</v>
      </c>
      <c r="I183" s="7" t="s">
        <v>2258</v>
      </c>
      <c r="J183" s="7" t="s">
        <v>2258</v>
      </c>
      <c r="K183" s="7" t="s">
        <v>2243</v>
      </c>
      <c r="L183" s="7" t="s">
        <v>2257</v>
      </c>
      <c r="M183" s="7" t="s">
        <v>2258</v>
      </c>
      <c r="N183" s="7" t="s">
        <v>239</v>
      </c>
      <c r="O183" s="7" t="s">
        <v>239</v>
      </c>
    </row>
    <row r="184" spans="1:15" ht="174" x14ac:dyDescent="0.35">
      <c r="A184" s="7" t="s">
        <v>1311</v>
      </c>
      <c r="B184" s="7" t="s">
        <v>2911</v>
      </c>
      <c r="C184" s="7" t="s">
        <v>2831</v>
      </c>
      <c r="D184" s="7" t="s">
        <v>2912</v>
      </c>
      <c r="E184" s="7" t="s">
        <v>1275</v>
      </c>
      <c r="F184" s="7" t="s">
        <v>2258</v>
      </c>
      <c r="G184" s="8" t="s">
        <v>2913</v>
      </c>
      <c r="H184" s="7" t="s">
        <v>2914</v>
      </c>
      <c r="I184" s="7" t="s">
        <v>2378</v>
      </c>
      <c r="J184" s="7" t="s">
        <v>2840</v>
      </c>
      <c r="K184" s="7" t="s">
        <v>2243</v>
      </c>
      <c r="L184" s="7" t="s">
        <v>2257</v>
      </c>
      <c r="M184" s="7" t="s">
        <v>2258</v>
      </c>
      <c r="N184" s="7" t="s">
        <v>239</v>
      </c>
      <c r="O184" s="7" t="s">
        <v>239</v>
      </c>
    </row>
    <row r="185" spans="1:15" ht="174" x14ac:dyDescent="0.35">
      <c r="A185" s="7" t="s">
        <v>1317</v>
      </c>
      <c r="B185" s="7" t="s">
        <v>2911</v>
      </c>
      <c r="C185" s="7" t="s">
        <v>2831</v>
      </c>
      <c r="D185" s="7" t="s">
        <v>2915</v>
      </c>
      <c r="E185" s="7" t="s">
        <v>1275</v>
      </c>
      <c r="F185" s="8" t="s">
        <v>2916</v>
      </c>
      <c r="G185" s="8" t="s">
        <v>1320</v>
      </c>
      <c r="H185" s="7">
        <v>191548636</v>
      </c>
      <c r="I185" s="7" t="s">
        <v>2258</v>
      </c>
      <c r="J185" s="7" t="s">
        <v>950</v>
      </c>
      <c r="K185" s="7" t="s">
        <v>2258</v>
      </c>
      <c r="L185" s="7" t="s">
        <v>2257</v>
      </c>
      <c r="M185" s="7" t="s">
        <v>141</v>
      </c>
      <c r="N185" s="7" t="s">
        <v>239</v>
      </c>
      <c r="O185" s="7" t="s">
        <v>239</v>
      </c>
    </row>
    <row r="186" spans="1:15" ht="174" x14ac:dyDescent="0.35">
      <c r="A186" s="7" t="s">
        <v>1324</v>
      </c>
      <c r="B186" s="7" t="s">
        <v>2911</v>
      </c>
      <c r="C186" s="7" t="s">
        <v>2831</v>
      </c>
      <c r="D186" s="7" t="s">
        <v>2917</v>
      </c>
      <c r="E186" s="7" t="s">
        <v>1275</v>
      </c>
      <c r="F186" s="7" t="s">
        <v>2258</v>
      </c>
      <c r="G186" s="8" t="s">
        <v>1326</v>
      </c>
      <c r="H186" s="7">
        <v>1713950941</v>
      </c>
      <c r="I186" s="7" t="s">
        <v>2258</v>
      </c>
      <c r="J186" s="7" t="s">
        <v>950</v>
      </c>
      <c r="K186" s="7" t="s">
        <v>2258</v>
      </c>
      <c r="L186" s="7" t="s">
        <v>2257</v>
      </c>
      <c r="M186" s="7" t="s">
        <v>141</v>
      </c>
      <c r="N186" s="7" t="s">
        <v>239</v>
      </c>
      <c r="O186" s="7" t="s">
        <v>239</v>
      </c>
    </row>
    <row r="187" spans="1:15" ht="174" x14ac:dyDescent="0.35">
      <c r="A187" s="7" t="s">
        <v>2918</v>
      </c>
      <c r="B187" s="7" t="s">
        <v>2384</v>
      </c>
      <c r="C187" s="7" t="s">
        <v>2919</v>
      </c>
      <c r="D187" s="7" t="s">
        <v>2920</v>
      </c>
      <c r="E187" s="7" t="s">
        <v>1275</v>
      </c>
      <c r="F187" s="7" t="s">
        <v>2404</v>
      </c>
      <c r="G187" s="7" t="s">
        <v>2258</v>
      </c>
      <c r="H187" s="7">
        <v>1718188569</v>
      </c>
      <c r="I187" s="7" t="s">
        <v>2258</v>
      </c>
      <c r="J187" s="7" t="s">
        <v>950</v>
      </c>
      <c r="K187" s="7" t="s">
        <v>2258</v>
      </c>
      <c r="L187" s="7" t="s">
        <v>2257</v>
      </c>
      <c r="M187" s="7" t="s">
        <v>141</v>
      </c>
      <c r="N187" s="7" t="s">
        <v>239</v>
      </c>
      <c r="O187" s="7" t="s">
        <v>239</v>
      </c>
    </row>
    <row r="188" spans="1:15" ht="101.5" x14ac:dyDescent="0.35">
      <c r="A188" s="7" t="s">
        <v>2921</v>
      </c>
      <c r="B188" s="7" t="s">
        <v>2265</v>
      </c>
      <c r="C188" s="7" t="s">
        <v>2922</v>
      </c>
      <c r="D188" s="7" t="s">
        <v>1355</v>
      </c>
      <c r="E188" s="7" t="s">
        <v>1356</v>
      </c>
      <c r="F188" s="7" t="s">
        <v>2923</v>
      </c>
      <c r="G188" s="8" t="s">
        <v>1358</v>
      </c>
      <c r="H188" s="7" t="s">
        <v>2258</v>
      </c>
      <c r="I188" s="7" t="s">
        <v>2258</v>
      </c>
      <c r="J188" s="7" t="s">
        <v>2924</v>
      </c>
      <c r="K188" s="7" t="s">
        <v>2228</v>
      </c>
      <c r="L188" s="7" t="s">
        <v>2257</v>
      </c>
      <c r="M188" s="7" t="s">
        <v>2258</v>
      </c>
      <c r="N188" s="7" t="s">
        <v>35</v>
      </c>
      <c r="O188" s="7" t="s">
        <v>35</v>
      </c>
    </row>
    <row r="189" spans="1:15" ht="145" x14ac:dyDescent="0.35">
      <c r="A189" s="7" t="s">
        <v>2925</v>
      </c>
      <c r="B189" s="7" t="s">
        <v>2926</v>
      </c>
      <c r="C189" s="7" t="s">
        <v>2927</v>
      </c>
      <c r="D189" s="7" t="s">
        <v>1364</v>
      </c>
      <c r="E189" s="7" t="s">
        <v>1356</v>
      </c>
      <c r="F189" s="8" t="s">
        <v>2928</v>
      </c>
      <c r="G189" s="7" t="s">
        <v>2258</v>
      </c>
      <c r="H189" s="7">
        <v>1755584574</v>
      </c>
      <c r="I189" s="7" t="s">
        <v>2258</v>
      </c>
      <c r="J189" s="7" t="s">
        <v>2929</v>
      </c>
      <c r="K189" s="7" t="s">
        <v>31</v>
      </c>
      <c r="L189" s="7" t="s">
        <v>2257</v>
      </c>
      <c r="M189" s="7" t="s">
        <v>2258</v>
      </c>
      <c r="N189" s="7" t="s">
        <v>35</v>
      </c>
      <c r="O189" s="7" t="s">
        <v>35</v>
      </c>
    </row>
    <row r="190" spans="1:15" ht="188.5" x14ac:dyDescent="0.35">
      <c r="A190" s="7" t="s">
        <v>1367</v>
      </c>
      <c r="B190" s="7" t="s">
        <v>2289</v>
      </c>
      <c r="C190" s="7" t="s">
        <v>2761</v>
      </c>
      <c r="D190" s="7" t="s">
        <v>1368</v>
      </c>
      <c r="E190" s="7" t="s">
        <v>1356</v>
      </c>
      <c r="F190" s="7" t="s">
        <v>2258</v>
      </c>
      <c r="G190" s="7" t="s">
        <v>2258</v>
      </c>
      <c r="H190" s="7" t="s">
        <v>2258</v>
      </c>
      <c r="I190" s="7" t="s">
        <v>2258</v>
      </c>
      <c r="J190" s="7" t="s">
        <v>2930</v>
      </c>
      <c r="K190" s="7" t="s">
        <v>2228</v>
      </c>
      <c r="L190" s="7" t="s">
        <v>2292</v>
      </c>
      <c r="M190" s="7" t="s">
        <v>2258</v>
      </c>
      <c r="N190" s="7" t="s">
        <v>35</v>
      </c>
      <c r="O190" s="7" t="s">
        <v>35</v>
      </c>
    </row>
    <row r="191" spans="1:15" ht="130.5" x14ac:dyDescent="0.35">
      <c r="A191" s="7" t="s">
        <v>2931</v>
      </c>
      <c r="B191" s="7" t="s">
        <v>2286</v>
      </c>
      <c r="C191" s="7" t="s">
        <v>2932</v>
      </c>
      <c r="D191" s="7" t="s">
        <v>1368</v>
      </c>
      <c r="E191" s="7" t="s">
        <v>1356</v>
      </c>
      <c r="F191" s="8" t="s">
        <v>2928</v>
      </c>
      <c r="G191" s="7" t="s">
        <v>2258</v>
      </c>
      <c r="H191" s="7">
        <v>1755584574</v>
      </c>
      <c r="I191" s="7" t="s">
        <v>2258</v>
      </c>
      <c r="J191" s="7" t="s">
        <v>2929</v>
      </c>
      <c r="K191" s="7" t="s">
        <v>2228</v>
      </c>
      <c r="L191" s="7" t="s">
        <v>2257</v>
      </c>
      <c r="M191" s="7" t="s">
        <v>2258</v>
      </c>
      <c r="N191" s="7" t="s">
        <v>35</v>
      </c>
      <c r="O191" s="7" t="s">
        <v>35</v>
      </c>
    </row>
    <row r="192" spans="1:15" ht="145" x14ac:dyDescent="0.35">
      <c r="A192" s="7" t="s">
        <v>1370</v>
      </c>
      <c r="B192" s="7" t="s">
        <v>2933</v>
      </c>
      <c r="C192" s="7" t="s">
        <v>2934</v>
      </c>
      <c r="D192" s="7" t="s">
        <v>1371</v>
      </c>
      <c r="E192" s="7" t="s">
        <v>1356</v>
      </c>
      <c r="F192" s="7" t="s">
        <v>2258</v>
      </c>
      <c r="G192" s="7" t="s">
        <v>2258</v>
      </c>
      <c r="H192" s="7" t="s">
        <v>2258</v>
      </c>
      <c r="I192" s="7" t="s">
        <v>2258</v>
      </c>
      <c r="J192" s="7" t="s">
        <v>2929</v>
      </c>
      <c r="K192" s="7" t="s">
        <v>31</v>
      </c>
      <c r="L192" s="7" t="s">
        <v>2257</v>
      </c>
      <c r="M192" s="7" t="s">
        <v>2258</v>
      </c>
      <c r="N192" s="7" t="s">
        <v>35</v>
      </c>
      <c r="O192" s="7" t="s">
        <v>35</v>
      </c>
    </row>
    <row r="193" spans="1:15" ht="130.5" x14ac:dyDescent="0.35">
      <c r="A193" s="7" t="s">
        <v>1374</v>
      </c>
      <c r="B193" s="7" t="s">
        <v>2265</v>
      </c>
      <c r="C193" s="7" t="s">
        <v>2672</v>
      </c>
      <c r="D193" s="7" t="s">
        <v>1375</v>
      </c>
      <c r="E193" s="7" t="s">
        <v>1356</v>
      </c>
      <c r="F193" s="7" t="s">
        <v>2258</v>
      </c>
      <c r="G193" s="7" t="s">
        <v>2258</v>
      </c>
      <c r="H193" s="7" t="s">
        <v>2258</v>
      </c>
      <c r="I193" s="7" t="s">
        <v>2258</v>
      </c>
      <c r="J193" s="7" t="s">
        <v>2929</v>
      </c>
      <c r="K193" s="7" t="s">
        <v>2228</v>
      </c>
      <c r="L193" s="7" t="s">
        <v>2257</v>
      </c>
      <c r="M193" s="7" t="s">
        <v>2258</v>
      </c>
      <c r="N193" s="7" t="s">
        <v>35</v>
      </c>
      <c r="O193" s="7" t="s">
        <v>35</v>
      </c>
    </row>
    <row r="194" spans="1:15" ht="188.5" x14ac:dyDescent="0.35">
      <c r="A194" s="7" t="s">
        <v>2935</v>
      </c>
      <c r="B194" s="7" t="s">
        <v>2289</v>
      </c>
      <c r="C194" s="7" t="s">
        <v>2761</v>
      </c>
      <c r="D194" s="7" t="s">
        <v>1381</v>
      </c>
      <c r="E194" s="7" t="s">
        <v>1356</v>
      </c>
      <c r="F194" s="7" t="s">
        <v>2258</v>
      </c>
      <c r="G194" s="8" t="s">
        <v>1382</v>
      </c>
      <c r="H194" s="7">
        <v>1989514789</v>
      </c>
      <c r="I194" s="7" t="s">
        <v>2258</v>
      </c>
      <c r="J194" s="7" t="s">
        <v>2936</v>
      </c>
      <c r="K194" s="7" t="s">
        <v>2228</v>
      </c>
      <c r="L194" s="7" t="s">
        <v>2292</v>
      </c>
      <c r="M194" s="7" t="s">
        <v>2258</v>
      </c>
      <c r="N194" s="7" t="s">
        <v>35</v>
      </c>
      <c r="O194" s="7" t="s">
        <v>35</v>
      </c>
    </row>
    <row r="195" spans="1:15" ht="159.5" x14ac:dyDescent="0.35">
      <c r="A195" s="7" t="s">
        <v>2937</v>
      </c>
      <c r="B195" s="7" t="s">
        <v>2289</v>
      </c>
      <c r="C195" s="7" t="s">
        <v>2769</v>
      </c>
      <c r="D195" s="7" t="s">
        <v>1384</v>
      </c>
      <c r="E195" s="7" t="s">
        <v>1356</v>
      </c>
      <c r="F195" s="7" t="s">
        <v>2258</v>
      </c>
      <c r="G195" s="7" t="s">
        <v>2258</v>
      </c>
      <c r="H195" s="7">
        <v>1733349573</v>
      </c>
      <c r="I195" s="7" t="s">
        <v>2258</v>
      </c>
      <c r="J195" s="7" t="s">
        <v>2936</v>
      </c>
      <c r="K195" s="7" t="s">
        <v>2228</v>
      </c>
      <c r="L195" s="7" t="s">
        <v>2292</v>
      </c>
      <c r="M195" s="7" t="s">
        <v>2258</v>
      </c>
      <c r="N195" s="7" t="s">
        <v>35</v>
      </c>
      <c r="O195" s="7" t="s">
        <v>35</v>
      </c>
    </row>
    <row r="196" spans="1:15" ht="188.5" x14ac:dyDescent="0.35">
      <c r="A196" s="7" t="s">
        <v>1391</v>
      </c>
      <c r="B196" s="7" t="s">
        <v>2289</v>
      </c>
      <c r="C196" s="7" t="s">
        <v>2761</v>
      </c>
      <c r="D196" s="7" t="s">
        <v>1392</v>
      </c>
      <c r="E196" s="7" t="s">
        <v>1356</v>
      </c>
      <c r="F196" s="7" t="s">
        <v>2258</v>
      </c>
      <c r="G196" s="8" t="s">
        <v>2938</v>
      </c>
      <c r="H196" s="7">
        <v>1733349577</v>
      </c>
      <c r="I196" s="7" t="s">
        <v>2258</v>
      </c>
      <c r="J196" s="7" t="s">
        <v>2936</v>
      </c>
      <c r="K196" s="7" t="s">
        <v>2228</v>
      </c>
      <c r="L196" s="7" t="s">
        <v>2292</v>
      </c>
      <c r="M196" s="7" t="s">
        <v>2258</v>
      </c>
      <c r="N196" s="7" t="s">
        <v>35</v>
      </c>
      <c r="O196" s="7" t="s">
        <v>35</v>
      </c>
    </row>
    <row r="197" spans="1:15" ht="159.5" x14ac:dyDescent="0.35">
      <c r="A197" s="7" t="s">
        <v>2939</v>
      </c>
      <c r="B197" s="7" t="s">
        <v>2940</v>
      </c>
      <c r="C197" s="7" t="s">
        <v>2941</v>
      </c>
      <c r="D197" s="7" t="s">
        <v>2942</v>
      </c>
      <c r="E197" s="7" t="s">
        <v>1356</v>
      </c>
      <c r="F197" s="8" t="s">
        <v>2943</v>
      </c>
      <c r="G197" s="8" t="s">
        <v>1400</v>
      </c>
      <c r="H197" s="7">
        <v>171724764</v>
      </c>
      <c r="I197" s="7" t="s">
        <v>2258</v>
      </c>
      <c r="J197" s="7" t="s">
        <v>2944</v>
      </c>
      <c r="K197" s="7" t="s">
        <v>31</v>
      </c>
      <c r="L197" s="7" t="s">
        <v>2257</v>
      </c>
      <c r="M197" s="7" t="s">
        <v>2258</v>
      </c>
      <c r="N197" s="7" t="s">
        <v>35</v>
      </c>
      <c r="O197" s="7" t="s">
        <v>35</v>
      </c>
    </row>
    <row r="198" spans="1:15" ht="159.5" x14ac:dyDescent="0.35">
      <c r="A198" s="7" t="s">
        <v>2945</v>
      </c>
      <c r="B198" s="7" t="s">
        <v>2940</v>
      </c>
      <c r="C198" s="7" t="s">
        <v>2941</v>
      </c>
      <c r="D198" s="7" t="s">
        <v>1405</v>
      </c>
      <c r="E198" s="7" t="s">
        <v>1356</v>
      </c>
      <c r="F198" s="7" t="s">
        <v>2258</v>
      </c>
      <c r="G198" s="8" t="s">
        <v>1406</v>
      </c>
      <c r="H198" s="7">
        <v>1914171061</v>
      </c>
      <c r="I198" s="7" t="s">
        <v>2258</v>
      </c>
      <c r="J198" s="7" t="s">
        <v>2946</v>
      </c>
      <c r="K198" s="7" t="s">
        <v>31</v>
      </c>
      <c r="L198" s="7" t="s">
        <v>2257</v>
      </c>
      <c r="M198" s="7" t="s">
        <v>2258</v>
      </c>
      <c r="N198" s="7" t="s">
        <v>35</v>
      </c>
      <c r="O198" s="7" t="s">
        <v>35</v>
      </c>
    </row>
    <row r="199" spans="1:15" ht="174" x14ac:dyDescent="0.35">
      <c r="A199" s="7" t="s">
        <v>2947</v>
      </c>
      <c r="B199" s="7" t="s">
        <v>2940</v>
      </c>
      <c r="C199" s="7" t="s">
        <v>2941</v>
      </c>
      <c r="D199" s="7" t="s">
        <v>2948</v>
      </c>
      <c r="E199" s="7" t="s">
        <v>1356</v>
      </c>
      <c r="F199" s="7" t="s">
        <v>2258</v>
      </c>
      <c r="G199" s="8" t="s">
        <v>2949</v>
      </c>
      <c r="H199" s="7">
        <v>1785050445</v>
      </c>
      <c r="I199" s="7" t="s">
        <v>2258</v>
      </c>
      <c r="J199" s="7" t="s">
        <v>2946</v>
      </c>
      <c r="K199" s="7" t="s">
        <v>31</v>
      </c>
      <c r="L199" s="7" t="s">
        <v>2257</v>
      </c>
      <c r="M199" s="7" t="s">
        <v>2258</v>
      </c>
      <c r="N199" s="7" t="s">
        <v>35</v>
      </c>
      <c r="O199" s="7" t="s">
        <v>35</v>
      </c>
    </row>
    <row r="200" spans="1:15" ht="159.5" x14ac:dyDescent="0.35">
      <c r="A200" s="7" t="s">
        <v>2950</v>
      </c>
      <c r="B200" s="7" t="s">
        <v>2940</v>
      </c>
      <c r="C200" s="7" t="s">
        <v>2941</v>
      </c>
      <c r="D200" s="7" t="s">
        <v>2951</v>
      </c>
      <c r="E200" s="7" t="s">
        <v>1356</v>
      </c>
      <c r="F200" s="7" t="s">
        <v>2258</v>
      </c>
      <c r="G200" s="7" t="s">
        <v>2258</v>
      </c>
      <c r="H200" s="7">
        <v>2589955353</v>
      </c>
      <c r="I200" s="7" t="s">
        <v>2258</v>
      </c>
      <c r="J200" s="7" t="s">
        <v>2946</v>
      </c>
      <c r="K200" s="7" t="s">
        <v>31</v>
      </c>
      <c r="L200" s="7" t="s">
        <v>2257</v>
      </c>
      <c r="M200" s="7" t="s">
        <v>2258</v>
      </c>
      <c r="N200" s="7" t="s">
        <v>35</v>
      </c>
      <c r="O200" s="7" t="s">
        <v>35</v>
      </c>
    </row>
    <row r="201" spans="1:15" ht="159.5" x14ac:dyDescent="0.35">
      <c r="A201" s="7" t="s">
        <v>2952</v>
      </c>
      <c r="B201" s="7" t="s">
        <v>2940</v>
      </c>
      <c r="C201" s="7" t="s">
        <v>2941</v>
      </c>
      <c r="D201" s="7" t="s">
        <v>2953</v>
      </c>
      <c r="E201" s="7" t="s">
        <v>1356</v>
      </c>
      <c r="F201" s="7" t="s">
        <v>2258</v>
      </c>
      <c r="G201" s="8" t="s">
        <v>2954</v>
      </c>
      <c r="H201" s="7">
        <v>1581652376</v>
      </c>
      <c r="I201" s="7" t="s">
        <v>2258</v>
      </c>
      <c r="J201" s="7" t="s">
        <v>2946</v>
      </c>
      <c r="K201" s="7" t="s">
        <v>31</v>
      </c>
      <c r="L201" s="7" t="s">
        <v>2257</v>
      </c>
      <c r="M201" s="7" t="s">
        <v>2258</v>
      </c>
      <c r="N201" s="7" t="s">
        <v>35</v>
      </c>
      <c r="O201" s="7" t="s">
        <v>35</v>
      </c>
    </row>
    <row r="202" spans="1:15" ht="159.5" x14ac:dyDescent="0.35">
      <c r="A202" s="7" t="s">
        <v>2955</v>
      </c>
      <c r="B202" s="7" t="s">
        <v>2940</v>
      </c>
      <c r="C202" s="7" t="s">
        <v>2941</v>
      </c>
      <c r="D202" s="7" t="s">
        <v>1428</v>
      </c>
      <c r="E202" s="7" t="s">
        <v>1356</v>
      </c>
      <c r="F202" s="7" t="s">
        <v>2258</v>
      </c>
      <c r="G202" s="7" t="s">
        <v>2258</v>
      </c>
      <c r="H202" s="7">
        <v>2589986757</v>
      </c>
      <c r="I202" s="7" t="s">
        <v>2258</v>
      </c>
      <c r="J202" s="7" t="s">
        <v>2946</v>
      </c>
      <c r="K202" s="7" t="s">
        <v>31</v>
      </c>
      <c r="L202" s="7" t="s">
        <v>2257</v>
      </c>
      <c r="M202" s="7" t="s">
        <v>2258</v>
      </c>
      <c r="N202" s="7" t="s">
        <v>35</v>
      </c>
      <c r="O202" s="7" t="s">
        <v>35</v>
      </c>
    </row>
    <row r="203" spans="1:15" ht="159.5" x14ac:dyDescent="0.35">
      <c r="A203" s="7" t="s">
        <v>2956</v>
      </c>
      <c r="B203" s="7" t="s">
        <v>2940</v>
      </c>
      <c r="C203" s="7" t="s">
        <v>2941</v>
      </c>
      <c r="D203" s="7" t="s">
        <v>2957</v>
      </c>
      <c r="E203" s="7" t="s">
        <v>1356</v>
      </c>
      <c r="F203" s="7" t="s">
        <v>2258</v>
      </c>
      <c r="G203" s="7" t="s">
        <v>2258</v>
      </c>
      <c r="H203" s="7">
        <v>1739195332</v>
      </c>
      <c r="I203" s="7" t="s">
        <v>2258</v>
      </c>
      <c r="J203" s="7" t="s">
        <v>2946</v>
      </c>
      <c r="K203" s="7" t="s">
        <v>31</v>
      </c>
      <c r="L203" s="7" t="s">
        <v>2257</v>
      </c>
      <c r="M203" s="7" t="s">
        <v>2258</v>
      </c>
      <c r="N203" s="7" t="s">
        <v>35</v>
      </c>
      <c r="O203" s="7" t="s">
        <v>35</v>
      </c>
    </row>
    <row r="204" spans="1:15" ht="159.5" x14ac:dyDescent="0.35">
      <c r="A204" s="7" t="s">
        <v>2958</v>
      </c>
      <c r="B204" s="7" t="s">
        <v>2940</v>
      </c>
      <c r="C204" s="7" t="s">
        <v>2941</v>
      </c>
      <c r="D204" s="7" t="s">
        <v>2959</v>
      </c>
      <c r="E204" s="7" t="s">
        <v>1356</v>
      </c>
      <c r="F204" s="7" t="s">
        <v>2258</v>
      </c>
      <c r="G204" s="7" t="s">
        <v>2258</v>
      </c>
      <c r="H204" s="7">
        <v>1717976251</v>
      </c>
      <c r="I204" s="7" t="s">
        <v>2258</v>
      </c>
      <c r="J204" s="7" t="s">
        <v>2960</v>
      </c>
      <c r="K204" s="7" t="s">
        <v>31</v>
      </c>
      <c r="L204" s="7" t="s">
        <v>2257</v>
      </c>
      <c r="M204" s="7" t="s">
        <v>2258</v>
      </c>
      <c r="N204" s="7" t="s">
        <v>35</v>
      </c>
      <c r="O204" s="7" t="s">
        <v>35</v>
      </c>
    </row>
    <row r="205" spans="1:15" ht="116" x14ac:dyDescent="0.35">
      <c r="A205" s="7" t="s">
        <v>1451</v>
      </c>
      <c r="B205" s="7" t="s">
        <v>2961</v>
      </c>
      <c r="C205" s="7" t="s">
        <v>2962</v>
      </c>
      <c r="D205" s="7" t="s">
        <v>1452</v>
      </c>
      <c r="E205" s="7" t="s">
        <v>1356</v>
      </c>
      <c r="F205" s="8" t="s">
        <v>1453</v>
      </c>
      <c r="G205" s="8" t="s">
        <v>1454</v>
      </c>
      <c r="H205" s="7" t="s">
        <v>2963</v>
      </c>
      <c r="I205" s="7" t="s">
        <v>2258</v>
      </c>
      <c r="J205" s="7" t="s">
        <v>2936</v>
      </c>
      <c r="K205" s="7" t="s">
        <v>2258</v>
      </c>
      <c r="L205" s="7" t="s">
        <v>2257</v>
      </c>
      <c r="M205" s="7" t="s">
        <v>141</v>
      </c>
      <c r="N205" s="7" t="s">
        <v>2345</v>
      </c>
      <c r="O205" s="7" t="s">
        <v>2345</v>
      </c>
    </row>
    <row r="206" spans="1:15" ht="145" x14ac:dyDescent="0.35">
      <c r="A206" s="7" t="s">
        <v>2964</v>
      </c>
      <c r="B206" s="7" t="s">
        <v>2965</v>
      </c>
      <c r="C206" s="7" t="s">
        <v>2966</v>
      </c>
      <c r="D206" s="7" t="s">
        <v>1459</v>
      </c>
      <c r="E206" s="7" t="s">
        <v>1356</v>
      </c>
      <c r="F206" s="8" t="s">
        <v>1460</v>
      </c>
      <c r="G206" s="7" t="s">
        <v>2258</v>
      </c>
      <c r="H206" s="7">
        <v>1769665430</v>
      </c>
      <c r="I206" s="7" t="s">
        <v>2258</v>
      </c>
      <c r="J206" s="7" t="s">
        <v>2967</v>
      </c>
      <c r="K206" s="7" t="s">
        <v>2258</v>
      </c>
      <c r="L206" s="7" t="s">
        <v>2257</v>
      </c>
      <c r="M206" s="7" t="s">
        <v>2258</v>
      </c>
      <c r="N206" s="7" t="s">
        <v>2345</v>
      </c>
      <c r="O206" s="7" t="s">
        <v>2345</v>
      </c>
    </row>
    <row r="207" spans="1:15" ht="116" x14ac:dyDescent="0.35">
      <c r="A207" s="7" t="s">
        <v>1465</v>
      </c>
      <c r="B207" s="7" t="s">
        <v>2265</v>
      </c>
      <c r="C207" s="7" t="s">
        <v>2672</v>
      </c>
      <c r="D207" s="7" t="s">
        <v>2968</v>
      </c>
      <c r="E207" s="7" t="s">
        <v>1356</v>
      </c>
      <c r="F207" s="8" t="s">
        <v>2969</v>
      </c>
      <c r="G207" s="7" t="s">
        <v>2970</v>
      </c>
      <c r="H207" s="7" t="s">
        <v>2971</v>
      </c>
      <c r="I207" s="7" t="s">
        <v>2258</v>
      </c>
      <c r="J207" s="7" t="s">
        <v>2936</v>
      </c>
      <c r="K207" s="7" t="s">
        <v>2258</v>
      </c>
      <c r="L207" s="7" t="s">
        <v>2257</v>
      </c>
      <c r="M207" s="7" t="s">
        <v>2258</v>
      </c>
      <c r="N207" s="7" t="s">
        <v>239</v>
      </c>
      <c r="O207" s="7" t="s">
        <v>239</v>
      </c>
    </row>
    <row r="208" spans="1:15" ht="116" x14ac:dyDescent="0.35">
      <c r="A208" s="7" t="s">
        <v>1471</v>
      </c>
      <c r="B208" s="7" t="s">
        <v>2972</v>
      </c>
      <c r="C208" s="7" t="s">
        <v>2672</v>
      </c>
      <c r="D208" s="7" t="s">
        <v>1472</v>
      </c>
      <c r="E208" s="7" t="s">
        <v>1356</v>
      </c>
      <c r="F208" s="7" t="s">
        <v>2258</v>
      </c>
      <c r="G208" s="7" t="s">
        <v>2258</v>
      </c>
      <c r="H208" s="7" t="s">
        <v>2973</v>
      </c>
      <c r="I208" s="7" t="s">
        <v>2675</v>
      </c>
      <c r="J208" s="7" t="s">
        <v>2974</v>
      </c>
      <c r="K208" s="7" t="s">
        <v>2243</v>
      </c>
      <c r="L208" s="7" t="s">
        <v>2257</v>
      </c>
      <c r="M208" s="7" t="s">
        <v>2258</v>
      </c>
      <c r="N208" s="7" t="s">
        <v>239</v>
      </c>
      <c r="O208" s="7" t="s">
        <v>239</v>
      </c>
    </row>
    <row r="209" spans="1:15" ht="145" x14ac:dyDescent="0.35">
      <c r="A209" s="7" t="s">
        <v>2975</v>
      </c>
      <c r="B209" s="7" t="s">
        <v>2407</v>
      </c>
      <c r="C209" s="7" t="s">
        <v>2672</v>
      </c>
      <c r="D209" s="7" t="s">
        <v>1477</v>
      </c>
      <c r="E209" s="7" t="s">
        <v>1356</v>
      </c>
      <c r="F209" s="7" t="s">
        <v>2258</v>
      </c>
      <c r="G209" s="7" t="s">
        <v>2258</v>
      </c>
      <c r="H209" s="7">
        <v>1703708985</v>
      </c>
      <c r="I209" s="7" t="s">
        <v>2805</v>
      </c>
      <c r="J209" s="7" t="s">
        <v>2976</v>
      </c>
      <c r="K209" s="7" t="s">
        <v>2243</v>
      </c>
      <c r="L209" s="7" t="s">
        <v>2257</v>
      </c>
      <c r="M209" s="7" t="s">
        <v>2258</v>
      </c>
      <c r="N209" s="7" t="s">
        <v>239</v>
      </c>
      <c r="O209" s="7" t="s">
        <v>239</v>
      </c>
    </row>
    <row r="210" spans="1:15" ht="72.5" x14ac:dyDescent="0.35">
      <c r="A210" s="7" t="s">
        <v>1482</v>
      </c>
      <c r="B210" s="7" t="s">
        <v>2407</v>
      </c>
      <c r="C210" s="7" t="s">
        <v>2672</v>
      </c>
      <c r="D210" s="7" t="s">
        <v>1472</v>
      </c>
      <c r="E210" s="7" t="s">
        <v>1356</v>
      </c>
      <c r="F210" s="7" t="s">
        <v>2258</v>
      </c>
      <c r="G210" s="7" t="s">
        <v>2258</v>
      </c>
      <c r="H210" s="7">
        <v>9666787813</v>
      </c>
      <c r="I210" s="7" t="s">
        <v>2258</v>
      </c>
      <c r="J210" s="7" t="s">
        <v>2977</v>
      </c>
      <c r="K210" s="7" t="s">
        <v>2243</v>
      </c>
      <c r="L210" s="7" t="s">
        <v>2257</v>
      </c>
      <c r="M210" s="7" t="s">
        <v>2258</v>
      </c>
      <c r="N210" s="7" t="s">
        <v>239</v>
      </c>
      <c r="O210" s="7" t="s">
        <v>239</v>
      </c>
    </row>
    <row r="211" spans="1:15" ht="72.5" x14ac:dyDescent="0.35">
      <c r="A211" s="7" t="s">
        <v>1486</v>
      </c>
      <c r="B211" s="7" t="s">
        <v>2407</v>
      </c>
      <c r="C211" s="7" t="s">
        <v>2672</v>
      </c>
      <c r="D211" s="7" t="s">
        <v>2978</v>
      </c>
      <c r="E211" s="7" t="s">
        <v>1356</v>
      </c>
      <c r="F211" s="7" t="s">
        <v>2258</v>
      </c>
      <c r="G211" s="7" t="s">
        <v>2258</v>
      </c>
      <c r="H211" s="7">
        <v>188190734</v>
      </c>
      <c r="I211" s="7" t="s">
        <v>2258</v>
      </c>
      <c r="J211" s="7" t="s">
        <v>2977</v>
      </c>
      <c r="K211" s="7" t="s">
        <v>2243</v>
      </c>
      <c r="L211" s="7" t="s">
        <v>2257</v>
      </c>
      <c r="M211" s="7" t="s">
        <v>2258</v>
      </c>
      <c r="N211" s="7" t="s">
        <v>239</v>
      </c>
      <c r="O211" s="7" t="s">
        <v>239</v>
      </c>
    </row>
    <row r="212" spans="1:15" ht="145" x14ac:dyDescent="0.35">
      <c r="A212" s="7" t="s">
        <v>2979</v>
      </c>
      <c r="B212" s="7" t="s">
        <v>2407</v>
      </c>
      <c r="C212" s="7" t="s">
        <v>2672</v>
      </c>
      <c r="D212" s="7" t="s">
        <v>2980</v>
      </c>
      <c r="E212" s="7" t="s">
        <v>1356</v>
      </c>
      <c r="F212" s="7" t="s">
        <v>2258</v>
      </c>
      <c r="G212" s="7" t="s">
        <v>2258</v>
      </c>
      <c r="H212" s="7">
        <v>1711459959</v>
      </c>
      <c r="I212" s="7" t="s">
        <v>2675</v>
      </c>
      <c r="J212" s="7" t="s">
        <v>2981</v>
      </c>
      <c r="K212" s="7" t="s">
        <v>2243</v>
      </c>
      <c r="L212" s="7" t="s">
        <v>2257</v>
      </c>
      <c r="M212" s="7" t="s">
        <v>2258</v>
      </c>
      <c r="N212" s="7" t="s">
        <v>239</v>
      </c>
      <c r="O212" s="7" t="s">
        <v>239</v>
      </c>
    </row>
    <row r="213" spans="1:15" ht="101.5" x14ac:dyDescent="0.35">
      <c r="A213" s="7" t="s">
        <v>2982</v>
      </c>
      <c r="B213" s="7" t="s">
        <v>2407</v>
      </c>
      <c r="C213" s="7" t="s">
        <v>2672</v>
      </c>
      <c r="D213" s="7" t="s">
        <v>1496</v>
      </c>
      <c r="E213" s="7" t="s">
        <v>1356</v>
      </c>
      <c r="F213" s="7" t="s">
        <v>2258</v>
      </c>
      <c r="G213" s="7" t="s">
        <v>2258</v>
      </c>
      <c r="H213" s="7" t="s">
        <v>2983</v>
      </c>
      <c r="I213" s="7" t="s">
        <v>2258</v>
      </c>
      <c r="J213" s="7" t="s">
        <v>2977</v>
      </c>
      <c r="K213" s="7" t="s">
        <v>2243</v>
      </c>
      <c r="L213" s="7" t="s">
        <v>2257</v>
      </c>
      <c r="M213" s="7" t="s">
        <v>2258</v>
      </c>
      <c r="N213" s="7" t="s">
        <v>239</v>
      </c>
      <c r="O213" s="7" t="s">
        <v>239</v>
      </c>
    </row>
    <row r="214" spans="1:15" ht="116" x14ac:dyDescent="0.35">
      <c r="A214" s="7" t="s">
        <v>2984</v>
      </c>
      <c r="B214" s="7" t="s">
        <v>23</v>
      </c>
      <c r="C214" s="7" t="s">
        <v>2672</v>
      </c>
      <c r="D214" s="7" t="s">
        <v>2985</v>
      </c>
      <c r="E214" s="7" t="s">
        <v>1356</v>
      </c>
      <c r="F214" s="7" t="s">
        <v>2258</v>
      </c>
      <c r="G214" s="7" t="s">
        <v>2258</v>
      </c>
      <c r="H214" s="7">
        <v>1318336192</v>
      </c>
      <c r="I214" s="7" t="s">
        <v>2258</v>
      </c>
      <c r="J214" s="7" t="s">
        <v>2986</v>
      </c>
      <c r="K214" s="7" t="s">
        <v>2242</v>
      </c>
      <c r="L214" s="7" t="s">
        <v>2257</v>
      </c>
      <c r="M214" s="7" t="s">
        <v>2258</v>
      </c>
      <c r="N214" s="7" t="s">
        <v>239</v>
      </c>
      <c r="O214" s="7" t="s">
        <v>239</v>
      </c>
    </row>
    <row r="215" spans="1:15" ht="72.5" x14ac:dyDescent="0.35">
      <c r="A215" s="7" t="s">
        <v>2987</v>
      </c>
      <c r="B215" s="7" t="s">
        <v>2988</v>
      </c>
      <c r="C215" s="7" t="s">
        <v>2672</v>
      </c>
      <c r="D215" s="7" t="s">
        <v>1472</v>
      </c>
      <c r="E215" s="7" t="s">
        <v>1356</v>
      </c>
      <c r="F215" s="7" t="s">
        <v>2258</v>
      </c>
      <c r="G215" s="7" t="s">
        <v>2258</v>
      </c>
      <c r="H215" s="7">
        <v>1706851495</v>
      </c>
      <c r="I215" s="7" t="s">
        <v>2258</v>
      </c>
      <c r="J215" s="7" t="s">
        <v>2989</v>
      </c>
      <c r="K215" s="7" t="s">
        <v>2236</v>
      </c>
      <c r="L215" s="7" t="s">
        <v>2257</v>
      </c>
      <c r="M215" s="7" t="s">
        <v>2258</v>
      </c>
      <c r="N215" s="7" t="s">
        <v>239</v>
      </c>
      <c r="O215" s="7" t="s">
        <v>239</v>
      </c>
    </row>
    <row r="216" spans="1:15" ht="72.5" x14ac:dyDescent="0.35">
      <c r="A216" s="7" t="s">
        <v>1510</v>
      </c>
      <c r="B216" s="7" t="s">
        <v>2407</v>
      </c>
      <c r="C216" s="7" t="s">
        <v>2809</v>
      </c>
      <c r="D216" s="7" t="s">
        <v>1472</v>
      </c>
      <c r="E216" s="7" t="s">
        <v>1356</v>
      </c>
      <c r="F216" s="7" t="s">
        <v>2258</v>
      </c>
      <c r="G216" s="7" t="s">
        <v>2258</v>
      </c>
      <c r="H216" s="7">
        <v>1777337089</v>
      </c>
      <c r="I216" s="7" t="s">
        <v>2258</v>
      </c>
      <c r="J216" s="7" t="s">
        <v>2986</v>
      </c>
      <c r="K216" s="7" t="s">
        <v>2242</v>
      </c>
      <c r="L216" s="7" t="s">
        <v>2257</v>
      </c>
      <c r="M216" s="7" t="s">
        <v>2258</v>
      </c>
      <c r="N216" s="7" t="s">
        <v>239</v>
      </c>
      <c r="O216" s="7" t="s">
        <v>239</v>
      </c>
    </row>
    <row r="217" spans="1:15" ht="101.5" x14ac:dyDescent="0.35">
      <c r="A217" s="7" t="s">
        <v>1514</v>
      </c>
      <c r="B217" s="7" t="s">
        <v>2990</v>
      </c>
      <c r="C217" s="7" t="s">
        <v>2809</v>
      </c>
      <c r="D217" s="7" t="s">
        <v>1515</v>
      </c>
      <c r="E217" s="7" t="s">
        <v>1356</v>
      </c>
      <c r="F217" s="7" t="s">
        <v>2258</v>
      </c>
      <c r="G217" s="7" t="s">
        <v>2258</v>
      </c>
      <c r="H217" s="7" t="s">
        <v>2991</v>
      </c>
      <c r="I217" s="7" t="s">
        <v>2378</v>
      </c>
      <c r="J217" s="7" t="s">
        <v>2710</v>
      </c>
      <c r="K217" s="7" t="s">
        <v>2242</v>
      </c>
      <c r="L217" s="7" t="s">
        <v>2257</v>
      </c>
      <c r="M217" s="7" t="s">
        <v>2258</v>
      </c>
      <c r="N217" s="7" t="s">
        <v>239</v>
      </c>
      <c r="O217" s="7" t="s">
        <v>239</v>
      </c>
    </row>
    <row r="218" spans="1:15" ht="72.5" x14ac:dyDescent="0.35">
      <c r="A218" s="7" t="s">
        <v>2992</v>
      </c>
      <c r="B218" s="7" t="s">
        <v>2407</v>
      </c>
      <c r="C218" s="7" t="s">
        <v>2809</v>
      </c>
      <c r="D218" s="7" t="s">
        <v>1472</v>
      </c>
      <c r="E218" s="7" t="s">
        <v>1356</v>
      </c>
      <c r="F218" s="7" t="s">
        <v>2258</v>
      </c>
      <c r="G218" s="8" t="s">
        <v>2993</v>
      </c>
      <c r="H218" s="7" t="s">
        <v>2994</v>
      </c>
      <c r="I218" s="7" t="s">
        <v>2378</v>
      </c>
      <c r="J218" s="7" t="s">
        <v>2995</v>
      </c>
      <c r="K218" s="7" t="s">
        <v>2242</v>
      </c>
      <c r="L218" s="7" t="s">
        <v>2257</v>
      </c>
      <c r="M218" s="7" t="s">
        <v>2258</v>
      </c>
      <c r="N218" s="7" t="s">
        <v>239</v>
      </c>
      <c r="O218" s="7" t="s">
        <v>239</v>
      </c>
    </row>
    <row r="219" spans="1:15" ht="145" x14ac:dyDescent="0.35">
      <c r="A219" s="7" t="s">
        <v>2996</v>
      </c>
      <c r="B219" s="7" t="s">
        <v>2407</v>
      </c>
      <c r="C219" s="7" t="s">
        <v>2672</v>
      </c>
      <c r="D219" s="7" t="s">
        <v>2997</v>
      </c>
      <c r="E219" s="7" t="s">
        <v>1356</v>
      </c>
      <c r="F219" s="7" t="s">
        <v>2258</v>
      </c>
      <c r="G219" s="7" t="s">
        <v>2258</v>
      </c>
      <c r="H219" s="7">
        <v>1723672651</v>
      </c>
      <c r="I219" s="7" t="s">
        <v>2258</v>
      </c>
      <c r="J219" s="7" t="s">
        <v>2998</v>
      </c>
      <c r="K219" s="7" t="s">
        <v>2243</v>
      </c>
      <c r="L219" s="7" t="s">
        <v>2257</v>
      </c>
      <c r="M219" s="7" t="s">
        <v>2258</v>
      </c>
      <c r="N219" s="7" t="s">
        <v>239</v>
      </c>
      <c r="O219" s="7" t="s">
        <v>239</v>
      </c>
    </row>
    <row r="220" spans="1:15" ht="101.5" x14ac:dyDescent="0.35">
      <c r="A220" s="7" t="s">
        <v>2999</v>
      </c>
      <c r="B220" s="7" t="s">
        <v>2384</v>
      </c>
      <c r="C220" s="7" t="s">
        <v>2679</v>
      </c>
      <c r="D220" s="7" t="s">
        <v>1530</v>
      </c>
      <c r="E220" s="7" t="s">
        <v>1356</v>
      </c>
      <c r="F220" s="7" t="s">
        <v>2258</v>
      </c>
      <c r="G220" s="7" t="s">
        <v>2258</v>
      </c>
      <c r="H220" s="7" t="s">
        <v>3000</v>
      </c>
      <c r="I220" s="7" t="s">
        <v>2378</v>
      </c>
      <c r="J220" s="7" t="s">
        <v>2791</v>
      </c>
      <c r="K220" s="7" t="s">
        <v>2243</v>
      </c>
      <c r="L220" s="7" t="s">
        <v>2257</v>
      </c>
      <c r="M220" s="7" t="s">
        <v>2258</v>
      </c>
      <c r="N220" s="7" t="s">
        <v>239</v>
      </c>
      <c r="O220" s="7" t="s">
        <v>239</v>
      </c>
    </row>
    <row r="221" spans="1:15" ht="72.5" x14ac:dyDescent="0.35">
      <c r="A221" s="7" t="s">
        <v>1535</v>
      </c>
      <c r="B221" s="7" t="s">
        <v>3001</v>
      </c>
      <c r="C221" s="7" t="s">
        <v>2672</v>
      </c>
      <c r="D221" s="7" t="s">
        <v>1536</v>
      </c>
      <c r="E221" s="7" t="s">
        <v>1356</v>
      </c>
      <c r="F221" s="7" t="s">
        <v>2258</v>
      </c>
      <c r="G221" s="7" t="s">
        <v>2258</v>
      </c>
      <c r="H221" s="7">
        <v>1715593093</v>
      </c>
      <c r="I221" s="7" t="s">
        <v>3002</v>
      </c>
      <c r="J221" s="7" t="s">
        <v>3003</v>
      </c>
      <c r="K221" s="7" t="s">
        <v>2243</v>
      </c>
      <c r="L221" s="7" t="s">
        <v>2257</v>
      </c>
      <c r="M221" s="7" t="s">
        <v>2258</v>
      </c>
      <c r="N221" s="7" t="s">
        <v>239</v>
      </c>
      <c r="O221" s="7" t="s">
        <v>239</v>
      </c>
    </row>
    <row r="222" spans="1:15" ht="72.5" x14ac:dyDescent="0.35">
      <c r="A222" s="7" t="s">
        <v>1540</v>
      </c>
      <c r="B222" s="7" t="s">
        <v>3001</v>
      </c>
      <c r="C222" s="7" t="s">
        <v>2672</v>
      </c>
      <c r="D222" s="7" t="s">
        <v>3004</v>
      </c>
      <c r="E222" s="7" t="s">
        <v>1356</v>
      </c>
      <c r="F222" s="7" t="s">
        <v>2258</v>
      </c>
      <c r="G222" s="7" t="s">
        <v>2258</v>
      </c>
      <c r="H222" s="7" t="s">
        <v>2258</v>
      </c>
      <c r="I222" s="7" t="s">
        <v>3002</v>
      </c>
      <c r="J222" s="7" t="s">
        <v>3005</v>
      </c>
      <c r="K222" s="7" t="s">
        <v>2243</v>
      </c>
      <c r="L222" s="7" t="s">
        <v>2257</v>
      </c>
      <c r="M222" s="7" t="s">
        <v>2258</v>
      </c>
      <c r="N222" s="7" t="s">
        <v>239</v>
      </c>
      <c r="O222" s="7" t="s">
        <v>239</v>
      </c>
    </row>
    <row r="223" spans="1:15" ht="72.5" x14ac:dyDescent="0.35">
      <c r="A223" s="7" t="s">
        <v>3006</v>
      </c>
      <c r="B223" s="7" t="s">
        <v>2407</v>
      </c>
      <c r="C223" s="7" t="s">
        <v>2672</v>
      </c>
      <c r="D223" s="7" t="s">
        <v>3007</v>
      </c>
      <c r="E223" s="7" t="s">
        <v>1356</v>
      </c>
      <c r="F223" s="7" t="s">
        <v>2258</v>
      </c>
      <c r="G223" s="7" t="s">
        <v>2258</v>
      </c>
      <c r="H223" s="7">
        <v>178545683</v>
      </c>
      <c r="I223" s="7" t="s">
        <v>2258</v>
      </c>
      <c r="J223" s="7" t="s">
        <v>3008</v>
      </c>
      <c r="K223" s="7" t="s">
        <v>2243</v>
      </c>
      <c r="L223" s="7" t="s">
        <v>2257</v>
      </c>
      <c r="M223" s="7" t="s">
        <v>2258</v>
      </c>
      <c r="N223" s="7" t="s">
        <v>239</v>
      </c>
      <c r="O223" s="7" t="s">
        <v>239</v>
      </c>
    </row>
    <row r="224" spans="1:15" ht="87" x14ac:dyDescent="0.35">
      <c r="A224" s="7" t="s">
        <v>3009</v>
      </c>
      <c r="B224" s="7" t="s">
        <v>3010</v>
      </c>
      <c r="C224" s="7" t="s">
        <v>2672</v>
      </c>
      <c r="D224" s="7" t="s">
        <v>3011</v>
      </c>
      <c r="E224" s="7" t="s">
        <v>1356</v>
      </c>
      <c r="F224" s="7" t="s">
        <v>2258</v>
      </c>
      <c r="G224" s="7" t="s">
        <v>2258</v>
      </c>
      <c r="H224" s="7">
        <v>1773565648</v>
      </c>
      <c r="I224" s="7" t="s">
        <v>3002</v>
      </c>
      <c r="J224" s="7" t="s">
        <v>3003</v>
      </c>
      <c r="K224" s="7" t="s">
        <v>2243</v>
      </c>
      <c r="L224" s="7" t="s">
        <v>2257</v>
      </c>
      <c r="M224" s="7" t="s">
        <v>2258</v>
      </c>
      <c r="N224" s="7" t="s">
        <v>239</v>
      </c>
      <c r="O224" s="7" t="s">
        <v>239</v>
      </c>
    </row>
    <row r="225" spans="1:15" ht="87" x14ac:dyDescent="0.35">
      <c r="A225" s="7" t="s">
        <v>3012</v>
      </c>
      <c r="B225" s="7" t="s">
        <v>2407</v>
      </c>
      <c r="C225" s="7" t="s">
        <v>2672</v>
      </c>
      <c r="D225" s="7" t="s">
        <v>1557</v>
      </c>
      <c r="E225" s="7" t="s">
        <v>1356</v>
      </c>
      <c r="F225" s="7" t="s">
        <v>2258</v>
      </c>
      <c r="G225" s="7" t="s">
        <v>2258</v>
      </c>
      <c r="H225" s="7">
        <v>1770254434</v>
      </c>
      <c r="I225" s="7" t="s">
        <v>3013</v>
      </c>
      <c r="J225" s="7" t="s">
        <v>2845</v>
      </c>
      <c r="K225" s="7" t="s">
        <v>2243</v>
      </c>
      <c r="L225" s="7" t="s">
        <v>2257</v>
      </c>
      <c r="M225" s="7" t="s">
        <v>2258</v>
      </c>
      <c r="N225" s="7" t="s">
        <v>239</v>
      </c>
      <c r="O225" s="7" t="s">
        <v>239</v>
      </c>
    </row>
    <row r="226" spans="1:15" ht="58" x14ac:dyDescent="0.35">
      <c r="A226" s="7" t="s">
        <v>3014</v>
      </c>
      <c r="B226" s="7" t="s">
        <v>2407</v>
      </c>
      <c r="C226" s="7" t="s">
        <v>2672</v>
      </c>
      <c r="D226" s="7" t="s">
        <v>1562</v>
      </c>
      <c r="E226" s="7" t="s">
        <v>1356</v>
      </c>
      <c r="F226" s="7" t="s">
        <v>2258</v>
      </c>
      <c r="G226" s="7" t="s">
        <v>2258</v>
      </c>
      <c r="H226" s="7">
        <v>1764197461</v>
      </c>
      <c r="I226" s="7" t="s">
        <v>3002</v>
      </c>
      <c r="J226" s="7" t="s">
        <v>3015</v>
      </c>
      <c r="K226" s="7" t="s">
        <v>2243</v>
      </c>
      <c r="L226" s="7" t="s">
        <v>2257</v>
      </c>
      <c r="M226" s="7" t="s">
        <v>2258</v>
      </c>
      <c r="N226" s="7" t="s">
        <v>239</v>
      </c>
      <c r="O226" s="7" t="s">
        <v>239</v>
      </c>
    </row>
    <row r="227" spans="1:15" ht="58" x14ac:dyDescent="0.35">
      <c r="A227" s="7" t="s">
        <v>1566</v>
      </c>
      <c r="B227" s="7" t="s">
        <v>2407</v>
      </c>
      <c r="C227" s="7" t="s">
        <v>2672</v>
      </c>
      <c r="D227" s="7" t="s">
        <v>1567</v>
      </c>
      <c r="E227" s="7" t="s">
        <v>1356</v>
      </c>
      <c r="F227" s="7" t="s">
        <v>2258</v>
      </c>
      <c r="G227" s="7" t="s">
        <v>2258</v>
      </c>
      <c r="H227" s="7" t="s">
        <v>3016</v>
      </c>
      <c r="I227" s="7" t="s">
        <v>3017</v>
      </c>
      <c r="J227" s="7" t="s">
        <v>3018</v>
      </c>
      <c r="K227" s="7" t="s">
        <v>2243</v>
      </c>
      <c r="L227" s="7" t="s">
        <v>2257</v>
      </c>
      <c r="M227" s="7" t="s">
        <v>2258</v>
      </c>
      <c r="N227" s="7" t="s">
        <v>239</v>
      </c>
      <c r="O227" s="7" t="s">
        <v>239</v>
      </c>
    </row>
    <row r="228" spans="1:15" ht="116" x14ac:dyDescent="0.35">
      <c r="A228" s="7" t="s">
        <v>3019</v>
      </c>
      <c r="B228" s="7" t="s">
        <v>2671</v>
      </c>
      <c r="C228" s="7" t="s">
        <v>2672</v>
      </c>
      <c r="D228" s="7" t="s">
        <v>3020</v>
      </c>
      <c r="E228" s="7" t="s">
        <v>1356</v>
      </c>
      <c r="F228" s="7" t="s">
        <v>2258</v>
      </c>
      <c r="G228" s="7" t="s">
        <v>2258</v>
      </c>
      <c r="H228" s="7">
        <v>191975064</v>
      </c>
      <c r="I228" s="7" t="s">
        <v>3002</v>
      </c>
      <c r="J228" s="7" t="s">
        <v>3021</v>
      </c>
      <c r="K228" s="7" t="s">
        <v>2243</v>
      </c>
      <c r="L228" s="7" t="s">
        <v>2257</v>
      </c>
      <c r="M228" s="7" t="s">
        <v>2258</v>
      </c>
      <c r="N228" s="7" t="s">
        <v>239</v>
      </c>
      <c r="O228" s="7" t="s">
        <v>239</v>
      </c>
    </row>
    <row r="229" spans="1:15" ht="116" x14ac:dyDescent="0.35">
      <c r="A229" s="7" t="s">
        <v>3022</v>
      </c>
      <c r="B229" s="7" t="s">
        <v>2451</v>
      </c>
      <c r="C229" s="7" t="s">
        <v>2672</v>
      </c>
      <c r="D229" s="7" t="s">
        <v>3023</v>
      </c>
      <c r="E229" s="7" t="s">
        <v>1356</v>
      </c>
      <c r="F229" s="7" t="s">
        <v>2258</v>
      </c>
      <c r="G229" s="7" t="s">
        <v>2258</v>
      </c>
      <c r="H229" s="7" t="s">
        <v>3024</v>
      </c>
      <c r="I229" s="7" t="s">
        <v>3002</v>
      </c>
      <c r="J229" s="7" t="s">
        <v>3025</v>
      </c>
      <c r="K229" s="7" t="s">
        <v>2243</v>
      </c>
      <c r="L229" s="7" t="s">
        <v>2257</v>
      </c>
      <c r="M229" s="7" t="s">
        <v>2258</v>
      </c>
      <c r="N229" s="7" t="s">
        <v>239</v>
      </c>
      <c r="O229" s="7" t="s">
        <v>239</v>
      </c>
    </row>
    <row r="230" spans="1:15" ht="87" x14ac:dyDescent="0.35">
      <c r="A230" s="7" t="s">
        <v>3026</v>
      </c>
      <c r="B230" s="7" t="s">
        <v>2407</v>
      </c>
      <c r="C230" s="7" t="s">
        <v>2672</v>
      </c>
      <c r="D230" s="7" t="s">
        <v>3027</v>
      </c>
      <c r="E230" s="7" t="s">
        <v>1356</v>
      </c>
      <c r="F230" s="7" t="s">
        <v>2258</v>
      </c>
      <c r="G230" s="7" t="s">
        <v>2258</v>
      </c>
      <c r="H230" s="7">
        <v>1775516858</v>
      </c>
      <c r="I230" s="7" t="s">
        <v>3028</v>
      </c>
      <c r="J230" s="7" t="s">
        <v>3018</v>
      </c>
      <c r="K230" s="7" t="s">
        <v>2243</v>
      </c>
      <c r="L230" s="7" t="s">
        <v>2257</v>
      </c>
      <c r="M230" s="7" t="s">
        <v>2258</v>
      </c>
      <c r="N230" s="7" t="s">
        <v>239</v>
      </c>
      <c r="O230" s="7" t="s">
        <v>239</v>
      </c>
    </row>
    <row r="231" spans="1:15" ht="101.5" x14ac:dyDescent="0.35">
      <c r="A231" s="7" t="s">
        <v>3029</v>
      </c>
      <c r="B231" s="7" t="s">
        <v>2407</v>
      </c>
      <c r="C231" s="7" t="s">
        <v>2672</v>
      </c>
      <c r="D231" s="7" t="s">
        <v>1587</v>
      </c>
      <c r="E231" s="7" t="s">
        <v>1356</v>
      </c>
      <c r="F231" s="7" t="s">
        <v>2258</v>
      </c>
      <c r="G231" s="7" t="s">
        <v>2258</v>
      </c>
      <c r="H231" s="7">
        <v>176237745</v>
      </c>
      <c r="I231" s="7" t="s">
        <v>3002</v>
      </c>
      <c r="J231" s="7" t="s">
        <v>3030</v>
      </c>
      <c r="K231" s="7" t="s">
        <v>2243</v>
      </c>
      <c r="L231" s="7" t="s">
        <v>2257</v>
      </c>
      <c r="M231" s="7" t="s">
        <v>2258</v>
      </c>
      <c r="N231" s="7" t="s">
        <v>239</v>
      </c>
      <c r="O231" s="7" t="s">
        <v>239</v>
      </c>
    </row>
    <row r="232" spans="1:15" ht="101.5" x14ac:dyDescent="0.35">
      <c r="A232" s="7" t="s">
        <v>1594</v>
      </c>
      <c r="B232" s="7" t="s">
        <v>3031</v>
      </c>
      <c r="C232" s="7" t="s">
        <v>2679</v>
      </c>
      <c r="D232" s="7" t="s">
        <v>1594</v>
      </c>
      <c r="E232" s="7" t="s">
        <v>1356</v>
      </c>
      <c r="F232" s="7" t="s">
        <v>2258</v>
      </c>
      <c r="G232" s="7" t="s">
        <v>2258</v>
      </c>
      <c r="H232" s="7" t="s">
        <v>3032</v>
      </c>
      <c r="I232" s="7" t="s">
        <v>3033</v>
      </c>
      <c r="J232" s="7" t="s">
        <v>2806</v>
      </c>
      <c r="K232" s="7" t="s">
        <v>2243</v>
      </c>
      <c r="L232" s="7" t="s">
        <v>2257</v>
      </c>
      <c r="M232" s="7" t="s">
        <v>2258</v>
      </c>
      <c r="N232" s="7" t="s">
        <v>239</v>
      </c>
      <c r="O232" s="7" t="s">
        <v>239</v>
      </c>
    </row>
    <row r="233" spans="1:15" ht="87" x14ac:dyDescent="0.35">
      <c r="A233" s="7" t="s">
        <v>1598</v>
      </c>
      <c r="B233" s="7" t="s">
        <v>23</v>
      </c>
      <c r="C233" s="7" t="s">
        <v>2672</v>
      </c>
      <c r="D233" s="7" t="s">
        <v>1599</v>
      </c>
      <c r="E233" s="7" t="s">
        <v>1356</v>
      </c>
      <c r="F233" s="7" t="s">
        <v>2258</v>
      </c>
      <c r="G233" s="7" t="s">
        <v>2258</v>
      </c>
      <c r="H233" s="7">
        <v>1714131212</v>
      </c>
      <c r="I233" s="7" t="s">
        <v>2258</v>
      </c>
      <c r="J233" s="7" t="s">
        <v>2806</v>
      </c>
      <c r="K233" s="7" t="s">
        <v>2243</v>
      </c>
      <c r="L233" s="7" t="s">
        <v>2257</v>
      </c>
      <c r="M233" s="7" t="s">
        <v>2258</v>
      </c>
      <c r="N233" s="7" t="s">
        <v>239</v>
      </c>
      <c r="O233" s="7" t="s">
        <v>239</v>
      </c>
    </row>
    <row r="234" spans="1:15" ht="72.5" x14ac:dyDescent="0.35">
      <c r="A234" s="7" t="s">
        <v>1603</v>
      </c>
      <c r="B234" s="7" t="s">
        <v>2407</v>
      </c>
      <c r="C234" s="7" t="s">
        <v>2672</v>
      </c>
      <c r="D234" s="7" t="s">
        <v>3034</v>
      </c>
      <c r="E234" s="7" t="s">
        <v>1356</v>
      </c>
      <c r="F234" s="7" t="s">
        <v>2258</v>
      </c>
      <c r="G234" s="7" t="s">
        <v>2258</v>
      </c>
      <c r="H234" s="7">
        <v>1723895326</v>
      </c>
      <c r="I234" s="7" t="s">
        <v>3002</v>
      </c>
      <c r="J234" s="7" t="s">
        <v>2676</v>
      </c>
      <c r="K234" s="7" t="s">
        <v>2243</v>
      </c>
      <c r="L234" s="7" t="s">
        <v>2257</v>
      </c>
      <c r="M234" s="7" t="s">
        <v>2258</v>
      </c>
      <c r="N234" s="7" t="s">
        <v>239</v>
      </c>
      <c r="O234" s="7" t="s">
        <v>239</v>
      </c>
    </row>
    <row r="235" spans="1:15" ht="116" x14ac:dyDescent="0.35">
      <c r="A235" s="7" t="s">
        <v>3035</v>
      </c>
      <c r="B235" s="7" t="s">
        <v>2738</v>
      </c>
      <c r="C235" s="7" t="s">
        <v>3036</v>
      </c>
      <c r="D235" s="7" t="s">
        <v>1615</v>
      </c>
      <c r="E235" s="7" t="s">
        <v>1356</v>
      </c>
      <c r="F235" s="7" t="s">
        <v>2258</v>
      </c>
      <c r="G235" s="7" t="s">
        <v>2258</v>
      </c>
      <c r="H235" s="7">
        <v>1861044146</v>
      </c>
      <c r="I235" s="7" t="s">
        <v>2258</v>
      </c>
      <c r="J235" s="7" t="s">
        <v>3037</v>
      </c>
      <c r="K235" s="7" t="s">
        <v>2258</v>
      </c>
      <c r="L235" s="7" t="s">
        <v>2257</v>
      </c>
      <c r="M235" s="7" t="s">
        <v>2258</v>
      </c>
      <c r="N235" s="7" t="s">
        <v>657</v>
      </c>
      <c r="O235" s="7" t="s">
        <v>657</v>
      </c>
    </row>
    <row r="236" spans="1:15" ht="145" x14ac:dyDescent="0.35">
      <c r="A236" s="7" t="s">
        <v>3038</v>
      </c>
      <c r="B236" s="7" t="s">
        <v>3039</v>
      </c>
      <c r="C236" s="7" t="s">
        <v>3040</v>
      </c>
      <c r="D236" s="7" t="s">
        <v>1610</v>
      </c>
      <c r="E236" s="7" t="s">
        <v>1356</v>
      </c>
      <c r="F236" s="7" t="s">
        <v>2258</v>
      </c>
      <c r="G236" s="7" t="s">
        <v>2258</v>
      </c>
      <c r="H236" s="7">
        <v>1318145159</v>
      </c>
      <c r="I236" s="7" t="s">
        <v>3002</v>
      </c>
      <c r="J236" s="7" t="s">
        <v>3041</v>
      </c>
      <c r="K236" s="7" t="s">
        <v>31</v>
      </c>
      <c r="L236" s="7" t="s">
        <v>2257</v>
      </c>
      <c r="M236" s="7" t="s">
        <v>2258</v>
      </c>
      <c r="N236" s="7" t="s">
        <v>2369</v>
      </c>
      <c r="O236" s="7" t="s">
        <v>2369</v>
      </c>
    </row>
    <row r="237" spans="1:15" ht="232" x14ac:dyDescent="0.35">
      <c r="A237" s="7" t="s">
        <v>1619</v>
      </c>
      <c r="B237" s="7" t="s">
        <v>2265</v>
      </c>
      <c r="C237" s="7" t="s">
        <v>2672</v>
      </c>
      <c r="D237" s="7" t="s">
        <v>1620</v>
      </c>
      <c r="E237" s="7" t="s">
        <v>1621</v>
      </c>
      <c r="F237" s="8" t="s">
        <v>3042</v>
      </c>
      <c r="G237" s="8" t="s">
        <v>1623</v>
      </c>
      <c r="H237" s="7" t="s">
        <v>3043</v>
      </c>
      <c r="I237" s="7" t="s">
        <v>2258</v>
      </c>
      <c r="J237" s="7" t="s">
        <v>3044</v>
      </c>
      <c r="K237" s="7" t="s">
        <v>2228</v>
      </c>
      <c r="L237" s="7" t="s">
        <v>2257</v>
      </c>
      <c r="M237" s="7" t="s">
        <v>2258</v>
      </c>
      <c r="N237" s="7" t="s">
        <v>35</v>
      </c>
      <c r="O237" s="7" t="s">
        <v>35</v>
      </c>
    </row>
    <row r="238" spans="1:15" ht="116" x14ac:dyDescent="0.35">
      <c r="A238" s="7" t="s">
        <v>3045</v>
      </c>
      <c r="B238" s="7" t="s">
        <v>2926</v>
      </c>
      <c r="C238" s="7" t="s">
        <v>2927</v>
      </c>
      <c r="D238" s="7" t="s">
        <v>3046</v>
      </c>
      <c r="E238" s="7" t="s">
        <v>1621</v>
      </c>
      <c r="F238" s="7" t="s">
        <v>2258</v>
      </c>
      <c r="G238" s="7" t="s">
        <v>2258</v>
      </c>
      <c r="H238" s="7" t="s">
        <v>3047</v>
      </c>
      <c r="I238" s="7" t="s">
        <v>2258</v>
      </c>
      <c r="J238" s="7" t="s">
        <v>3048</v>
      </c>
      <c r="K238" s="7" t="s">
        <v>2258</v>
      </c>
      <c r="L238" s="7" t="s">
        <v>2257</v>
      </c>
      <c r="M238" s="7" t="s">
        <v>2258</v>
      </c>
      <c r="N238" s="7" t="s">
        <v>35</v>
      </c>
      <c r="O238" s="7" t="s">
        <v>35</v>
      </c>
    </row>
    <row r="239" spans="1:15" ht="275.5" x14ac:dyDescent="0.35">
      <c r="A239" s="7" t="s">
        <v>3049</v>
      </c>
      <c r="B239" s="7" t="s">
        <v>2289</v>
      </c>
      <c r="C239" s="7" t="s">
        <v>2761</v>
      </c>
      <c r="D239" s="7" t="s">
        <v>3050</v>
      </c>
      <c r="E239" s="7" t="s">
        <v>1621</v>
      </c>
      <c r="F239" s="8" t="s">
        <v>3042</v>
      </c>
      <c r="G239" s="8" t="s">
        <v>3051</v>
      </c>
      <c r="H239" s="7" t="s">
        <v>3052</v>
      </c>
      <c r="I239" s="7" t="s">
        <v>2258</v>
      </c>
      <c r="J239" s="7" t="s">
        <v>3053</v>
      </c>
      <c r="K239" s="7" t="s">
        <v>2258</v>
      </c>
      <c r="L239" s="7" t="s">
        <v>2292</v>
      </c>
      <c r="M239" s="7" t="s">
        <v>2258</v>
      </c>
      <c r="N239" s="7" t="s">
        <v>35</v>
      </c>
      <c r="O239" s="7" t="s">
        <v>35</v>
      </c>
    </row>
    <row r="240" spans="1:15" ht="159.5" x14ac:dyDescent="0.35">
      <c r="A240" s="7" t="s">
        <v>3054</v>
      </c>
      <c r="B240" s="7" t="s">
        <v>2940</v>
      </c>
      <c r="C240" s="7" t="s">
        <v>3055</v>
      </c>
      <c r="D240" s="7" t="s">
        <v>1640</v>
      </c>
      <c r="E240" s="7" t="s">
        <v>1621</v>
      </c>
      <c r="F240" s="8" t="s">
        <v>3056</v>
      </c>
      <c r="G240" s="7" t="s">
        <v>2258</v>
      </c>
      <c r="H240" s="7" t="s">
        <v>3057</v>
      </c>
      <c r="I240" s="7" t="s">
        <v>2258</v>
      </c>
      <c r="J240" s="7" t="s">
        <v>3058</v>
      </c>
      <c r="K240" s="7" t="s">
        <v>31</v>
      </c>
      <c r="L240" s="7" t="s">
        <v>2257</v>
      </c>
      <c r="M240" s="7" t="s">
        <v>2258</v>
      </c>
      <c r="N240" s="7" t="s">
        <v>35</v>
      </c>
      <c r="O240" s="7" t="s">
        <v>35</v>
      </c>
    </row>
    <row r="241" spans="1:15" ht="188.5" x14ac:dyDescent="0.35">
      <c r="A241" s="7" t="s">
        <v>3059</v>
      </c>
      <c r="B241" s="7" t="s">
        <v>2940</v>
      </c>
      <c r="C241" s="7" t="s">
        <v>3055</v>
      </c>
      <c r="D241" s="7" t="s">
        <v>3060</v>
      </c>
      <c r="E241" s="7" t="s">
        <v>1621</v>
      </c>
      <c r="F241" s="8" t="s">
        <v>3056</v>
      </c>
      <c r="G241" s="7" t="s">
        <v>2258</v>
      </c>
      <c r="H241" s="7" t="s">
        <v>3061</v>
      </c>
      <c r="I241" s="7" t="s">
        <v>2326</v>
      </c>
      <c r="J241" s="7" t="s">
        <v>2791</v>
      </c>
      <c r="K241" s="7" t="s">
        <v>31</v>
      </c>
      <c r="L241" s="7" t="s">
        <v>2257</v>
      </c>
      <c r="M241" s="7" t="s">
        <v>2258</v>
      </c>
      <c r="N241" s="7" t="s">
        <v>35</v>
      </c>
      <c r="O241" s="7" t="s">
        <v>35</v>
      </c>
    </row>
    <row r="242" spans="1:15" ht="145" x14ac:dyDescent="0.35">
      <c r="A242" s="7" t="s">
        <v>3062</v>
      </c>
      <c r="B242" s="7" t="s">
        <v>3063</v>
      </c>
      <c r="C242" s="7" t="s">
        <v>3064</v>
      </c>
      <c r="D242" s="7" t="s">
        <v>3065</v>
      </c>
      <c r="E242" s="7" t="s">
        <v>1621</v>
      </c>
      <c r="F242" s="8" t="s">
        <v>3066</v>
      </c>
      <c r="G242" s="8" t="s">
        <v>3067</v>
      </c>
      <c r="H242" s="7" t="s">
        <v>2258</v>
      </c>
      <c r="I242" s="7" t="s">
        <v>2258</v>
      </c>
      <c r="J242" s="7" t="s">
        <v>3068</v>
      </c>
      <c r="K242" s="7" t="s">
        <v>31</v>
      </c>
      <c r="L242" s="7" t="s">
        <v>2257</v>
      </c>
      <c r="M242" s="7" t="s">
        <v>2258</v>
      </c>
      <c r="N242" s="7" t="s">
        <v>2345</v>
      </c>
      <c r="O242" s="7" t="s">
        <v>2345</v>
      </c>
    </row>
    <row r="243" spans="1:15" ht="116" x14ac:dyDescent="0.35">
      <c r="A243" s="7" t="s">
        <v>1653</v>
      </c>
      <c r="B243" s="7" t="s">
        <v>2277</v>
      </c>
      <c r="C243" s="7" t="s">
        <v>2672</v>
      </c>
      <c r="D243" s="7" t="s">
        <v>1654</v>
      </c>
      <c r="E243" s="7" t="s">
        <v>1621</v>
      </c>
      <c r="F243" s="7" t="s">
        <v>3069</v>
      </c>
      <c r="G243" s="8" t="s">
        <v>1656</v>
      </c>
      <c r="H243" s="7" t="s">
        <v>3070</v>
      </c>
      <c r="I243" s="7" t="s">
        <v>2258</v>
      </c>
      <c r="J243" s="7" t="s">
        <v>3044</v>
      </c>
      <c r="K243" s="7" t="s">
        <v>2258</v>
      </c>
      <c r="L243" s="7" t="s">
        <v>2257</v>
      </c>
      <c r="M243" s="7" t="s">
        <v>2258</v>
      </c>
      <c r="N243" s="7" t="s">
        <v>239</v>
      </c>
      <c r="O243" s="7" t="s">
        <v>239</v>
      </c>
    </row>
    <row r="244" spans="1:15" ht="116" x14ac:dyDescent="0.35">
      <c r="A244" s="7" t="s">
        <v>3071</v>
      </c>
      <c r="B244" s="7" t="s">
        <v>2265</v>
      </c>
      <c r="C244" s="7" t="s">
        <v>2672</v>
      </c>
      <c r="D244" s="7" t="s">
        <v>1661</v>
      </c>
      <c r="E244" s="7" t="s">
        <v>1621</v>
      </c>
      <c r="F244" s="8" t="s">
        <v>3072</v>
      </c>
      <c r="G244" s="7" t="s">
        <v>3073</v>
      </c>
      <c r="H244" s="7" t="s">
        <v>3074</v>
      </c>
      <c r="I244" s="7" t="s">
        <v>2258</v>
      </c>
      <c r="J244" s="7" t="s">
        <v>3075</v>
      </c>
      <c r="K244" s="7" t="s">
        <v>3076</v>
      </c>
      <c r="L244" s="7" t="s">
        <v>2257</v>
      </c>
      <c r="M244" s="7" t="s">
        <v>2258</v>
      </c>
      <c r="N244" s="7" t="s">
        <v>239</v>
      </c>
      <c r="O244" s="7" t="s">
        <v>239</v>
      </c>
    </row>
    <row r="245" spans="1:15" ht="116" x14ac:dyDescent="0.35">
      <c r="A245" s="7" t="s">
        <v>1668</v>
      </c>
      <c r="B245" s="7" t="s">
        <v>2265</v>
      </c>
      <c r="C245" s="7" t="s">
        <v>2672</v>
      </c>
      <c r="D245" s="7" t="s">
        <v>3077</v>
      </c>
      <c r="E245" s="7" t="s">
        <v>1621</v>
      </c>
      <c r="F245" s="8" t="s">
        <v>3078</v>
      </c>
      <c r="G245" s="8" t="s">
        <v>1671</v>
      </c>
      <c r="H245" s="7" t="s">
        <v>3079</v>
      </c>
      <c r="I245" s="7" t="s">
        <v>2258</v>
      </c>
      <c r="J245" s="7" t="s">
        <v>3080</v>
      </c>
      <c r="K245" s="7" t="s">
        <v>3081</v>
      </c>
      <c r="L245" s="7" t="s">
        <v>2257</v>
      </c>
      <c r="M245" s="7" t="s">
        <v>2258</v>
      </c>
      <c r="N245" s="7" t="s">
        <v>239</v>
      </c>
      <c r="O245" s="7" t="s">
        <v>239</v>
      </c>
    </row>
    <row r="246" spans="1:15" ht="130.5" x14ac:dyDescent="0.35">
      <c r="A246" s="7" t="s">
        <v>3082</v>
      </c>
      <c r="B246" s="7" t="s">
        <v>2265</v>
      </c>
      <c r="C246" s="7" t="s">
        <v>2672</v>
      </c>
      <c r="D246" s="7" t="s">
        <v>1677</v>
      </c>
      <c r="E246" s="7" t="s">
        <v>1621</v>
      </c>
      <c r="F246" s="8" t="s">
        <v>3083</v>
      </c>
      <c r="G246" s="8" t="s">
        <v>3084</v>
      </c>
      <c r="H246" s="7" t="s">
        <v>3085</v>
      </c>
      <c r="I246" s="7" t="s">
        <v>2258</v>
      </c>
      <c r="J246" s="7" t="s">
        <v>3086</v>
      </c>
      <c r="K246" s="7" t="s">
        <v>2235</v>
      </c>
      <c r="L246" s="7" t="s">
        <v>2257</v>
      </c>
      <c r="M246" s="7" t="s">
        <v>2258</v>
      </c>
      <c r="N246" s="7" t="s">
        <v>239</v>
      </c>
      <c r="O246" s="7" t="s">
        <v>239</v>
      </c>
    </row>
  </sheetData>
  <hyperlinks>
    <hyperlink ref="G2" r:id="rId1" display="mailto:nimh@hospi.dg"/>
    <hyperlink ref="F3" r:id="rId2"/>
    <hyperlink ref="F4" r:id="rId3" display="http://www.dmc.gov.bd/"/>
    <hyperlink ref="G4" r:id="rId4" display="mailto:dmc@hospi.dghs.gov.bd"/>
    <hyperlink ref="F5" r:id="rId5" display="http://www.ssmchd.net/"/>
    <hyperlink ref="G5" r:id="rId6" display="mailto:ssmc@ac.dghs.gov.bd"/>
    <hyperlink ref="F6" r:id="rId7" display="http://www.shsmc.gov.bd/"/>
    <hyperlink ref="G6" r:id="rId8" display="mailto:shsmc@ac.dghs.gov.bd"/>
    <hyperlink ref="F7" r:id="rId9"/>
    <hyperlink ref="G7" r:id="rId10" display="mailto:sdydept.afmc.bd@gmail.com"/>
    <hyperlink ref="F8" r:id="rId11" display="mailto:kurmitolasoebed@hospi.dghs.gov.bd"/>
    <hyperlink ref="G8" r:id="rId12" display="mailto:kurmitolasoebed@hospi.dghs.gov.bd"/>
    <hyperlink ref="F9" r:id="rId13"/>
    <hyperlink ref="F10" r:id="rId14" display="http://www.dmc.gov.bd/"/>
    <hyperlink ref="G10" r:id="rId15" display="mailto:occdmc@yahoo.com"/>
    <hyperlink ref="F11" r:id="rId16" display="http://www.dmc.gov.bd/"/>
    <hyperlink ref="F12" r:id="rId17" display="http://www.ssmchd.net/"/>
    <hyperlink ref="G12" r:id="rId18" display="mailto:ssmc@ac.dghs.gov.bd"/>
    <hyperlink ref="F13" r:id="rId19"/>
    <hyperlink ref="F14" r:id="rId20" display="http://www.dsh.org.bd/"/>
    <hyperlink ref="G14" r:id="rId21" display="mailto:info@dsh.org.bd"/>
    <hyperlink ref="G15" r:id="rId22" display="mailto:sskmc@ac.dghs.gov.bd"/>
    <hyperlink ref="F16" r:id="rId23" display="https://stamc.edu.bd/"/>
    <hyperlink ref="G16" r:id="rId24" display="mailto:stamc@ac.dghs.gov.bd"/>
    <hyperlink ref="G17" r:id="rId25" display="mailto:shmchtangail@hospi.dghs.gov.bd"/>
    <hyperlink ref="F18" r:id="rId26" display="http://www.bsmmc.edu.bd/"/>
    <hyperlink ref="G18" r:id="rId27" display="mailto:cdc_fmch@yahoo.com"/>
    <hyperlink ref="F19" r:id="rId28" display="http://www.icmh.org.bd/"/>
    <hyperlink ref="G19" r:id="rId29" display="mailto:info@icmh.org.bd"/>
    <hyperlink ref="F20" r:id="rId30"/>
    <hyperlink ref="F21" r:id="rId31" display="http://www.ntcc-mowca.gov.bd/"/>
    <hyperlink ref="G21" r:id="rId32" display="mailto:ntccbd@yahoo.com"/>
    <hyperlink ref="F22" r:id="rId33" display="http://www.nins.gov.bd/"/>
    <hyperlink ref="G22" r:id="rId34" display="mailto:nins@hospi.dghs.gov.bd"/>
    <hyperlink ref="F23" r:id="rId35" display="https://cmmc.gov.bd/"/>
    <hyperlink ref="G23" r:id="rId36" display="mailto:colonelmalekmc@ac.dghs.gov.bd"/>
    <hyperlink ref="F24" r:id="rId37" display="http://www.bsmmc.edu.bd/"/>
    <hyperlink ref="G24" r:id="rId38" display="mailto:occ_fmch@yahoo.com"/>
    <hyperlink ref="F25" r:id="rId39"/>
    <hyperlink ref="G25" r:id="rId40" display="mailto:contact@bsmmc.edu.bd"/>
    <hyperlink ref="G26" r:id="rId41" display="mailto:sskmc@ac.dghs.gov.bd"/>
    <hyperlink ref="F27" r:id="rId42" display="https://stamc.edu.bd/"/>
    <hyperlink ref="G27" r:id="rId43" display="mailto:stamc@ac.dghs.gov.bd"/>
    <hyperlink ref="G28" r:id="rId44" display="mailto:shmctangail@hospi.dghs.gov.bd"/>
    <hyperlink ref="F29" r:id="rId45" display="https://www.npudud.org/"/>
    <hyperlink ref="G29" r:id="rId46" display="mailto:du@gmail.com"/>
    <hyperlink ref="F30" r:id="rId47"/>
    <hyperlink ref="G30" r:id="rId48" display="mailto:russellimran@office.du.ac.bd"/>
    <hyperlink ref="F31" r:id="rId49"/>
    <hyperlink ref="G31" r:id="rId50" display="mailto:pacdpdu@gmail.com"/>
    <hyperlink ref="F32" r:id="rId51"/>
    <hyperlink ref="G32" r:id="rId52" display="mailto:hossain_cp@du.ac.bd"/>
    <hyperlink ref="F33" r:id="rId53"/>
    <hyperlink ref="F34" r:id="rId54" display="http://www.juniv.edu/"/>
    <hyperlink ref="F35" r:id="rId55" display="https://acidsurvivors.org/"/>
    <hyperlink ref="G35" r:id="rId56" display="mailto:asf@acidsurvivors.org"/>
    <hyperlink ref="F36" r:id="rId57" display="http://www.askbd.org/"/>
    <hyperlink ref="G36" r:id="rId58" display="mailto:ask@citechco.net"/>
    <hyperlink ref="F37" r:id="rId59"/>
    <hyperlink ref="G37" r:id="rId60" display="mailto:info@akmmch.com"/>
    <hyperlink ref="G38" r:id="rId61" display="mailto:athenaimitedbd@gmail.com"/>
    <hyperlink ref="F40" r:id="rId62" display="https://bmc-bd.org/"/>
    <hyperlink ref="G40" r:id="rId63" display="mailto:office09@bmc-bd.org"/>
    <hyperlink ref="F41" r:id="rId64" display="https://bpsychiatriccare.com/"/>
    <hyperlink ref="G41" r:id="rId65" display="mailto:contact@psychiatriccare.com.bd"/>
    <hyperlink ref="G42" r:id="rId66" display="mailto:cmhcbd2015@gmail.com"/>
    <hyperlink ref="F44" r:id="rId67"/>
    <hyperlink ref="G44" r:id="rId68" display="mailto:info@comfortbd.com"/>
    <hyperlink ref="F45" r:id="rId69"/>
    <hyperlink ref="G45" r:id="rId70" display="mailto:info@amic.org.bd"/>
    <hyperlink ref="F46" r:id="rId71" display="mailto:dorpon.psy@gmail.com"/>
    <hyperlink ref="G46" r:id="rId72" display="mailto:dorpon.psy@gmail.com"/>
    <hyperlink ref="F47" r:id="rId73" display="https://www.evercarebd.com/"/>
    <hyperlink ref="F48" r:id="rId74"/>
    <hyperlink ref="G48" r:id="rId75" display="mailto:info@gonosvmc.edu.bd"/>
    <hyperlink ref="F49" r:id="rId76" display="https://greenlife.edu.bd/"/>
    <hyperlink ref="G49" r:id="rId77" display="mailto:contact@greenlife.edu.bd"/>
    <hyperlink ref="F50" r:id="rId78"/>
    <hyperlink ref="G50" r:id="rId79" display="mailto:info@healthandhopebd.net"/>
    <hyperlink ref="F51" r:id="rId80"/>
    <hyperlink ref="G51" r:id="rId81" display="mailto:healingheartbd@gmail.com"/>
    <hyperlink ref="F52" r:id="rId82" display="http://www.mentalhealthbd.org/"/>
    <hyperlink ref="G52" r:id="rId83" display="mailto:mental014@gmail.com"/>
    <hyperlink ref="F53" r:id="rId84" display="http://www.hfrcmc.edu.bd/"/>
    <hyperlink ref="G53" r:id="rId85" display="mailto:info@hfcrmc.edu.bd"/>
    <hyperlink ref="F54" r:id="rId86" display="http://www.ibsinatrust.com/"/>
    <hyperlink ref="G54" r:id="rId87" display="mailto:info@ibsinatrust.com"/>
    <hyperlink ref="F55" r:id="rId88"/>
    <hyperlink ref="G55" r:id="rId89" display="mailto:info@ibsinatrust.com"/>
    <hyperlink ref="F56" r:id="rId90"/>
    <hyperlink ref="G56" r:id="rId91" display="mailto:info@ibsinatrust.com"/>
    <hyperlink ref="F57" r:id="rId92" display="https://sajidafoundation.org/"/>
    <hyperlink ref="G57" r:id="rId93" display="mailto:innercircle@sajidafoundation.org"/>
    <hyperlink ref="G58" r:id="rId94" display="mailto:ipe@gmail.com"/>
    <hyperlink ref="F59" r:id="rId95" display="http://www.shuni.org/"/>
    <hyperlink ref="G59" r:id="rId96" display="mailto:info.shuni@gmail.com"/>
    <hyperlink ref="F60" r:id="rId97" display="http://www.labaidgroup.com/"/>
    <hyperlink ref="G60" r:id="rId98" display="mailto:info@labaidgroup.com"/>
    <hyperlink ref="F62" r:id="rId99" display="http://www.labaidgroup.com/"/>
    <hyperlink ref="G62" r:id="rId100" display="mailto:info@labaidgroup.com"/>
    <hyperlink ref="F63" r:id="rId101" display="http://www.labaidgroup.com/"/>
    <hyperlink ref="G63" r:id="rId102" display="mailto:info@labaidgroup.com"/>
    <hyperlink ref="F64" r:id="rId103" display="http://www.labaidgroup.com/"/>
    <hyperlink ref="G64" r:id="rId104" display="mailto:info@labaidgroup.com"/>
    <hyperlink ref="F65" r:id="rId105" display="https://we.lifeandlighthousebd.com/"/>
    <hyperlink ref="G65" r:id="rId106" display="mailto:fokruhossain2001@gmail.com"/>
    <hyperlink ref="F66" r:id="rId107"/>
    <hyperlink ref="F67" r:id="rId108" display="http://www.medinovamedicalbd.com/"/>
    <hyperlink ref="G68" r:id="rId109" display="mailto:monochikitsaloy@gmail.com"/>
    <hyperlink ref="G69" r:id="rId110" display="mailto:tauirailsam75@gmail.com"/>
    <hyperlink ref="G70" r:id="rId111" display="mailto:monojagotcentre1986@gmail.com"/>
    <hyperlink ref="F71" r:id="rId112" display="http://www.monobikash.com/"/>
    <hyperlink ref="G71" r:id="rId113" display="mailto:monobikash.bd@gmail.com"/>
    <hyperlink ref="F72" r:id="rId114"/>
    <hyperlink ref="G72" r:id="rId115" display="mailto:info@iwellbeing.org"/>
    <hyperlink ref="F74" r:id="rId116" display="http://www.newmukti.com/"/>
    <hyperlink ref="G74" r:id="rId117" display="mailto:newmukticlinic@gmail.com"/>
    <hyperlink ref="F75" r:id="rId118" display="https://padma-bd.com/"/>
    <hyperlink ref="G75" r:id="rId119" display="mailto:info@padma-bd.com"/>
    <hyperlink ref="G77" r:id="rId120" display="mailto:monerbondhu16@gmail.com"/>
    <hyperlink ref="F80" r:id="rId121" display="https://www.protoymedical.com/"/>
    <hyperlink ref="F81" r:id="rId122" display="https://phwcbd.org/"/>
    <hyperlink ref="G81" r:id="rId123" display="mailto:reception@phwcbd.org"/>
    <hyperlink ref="F83" r:id="rId124" display="http://www.siblbd.com/"/>
    <hyperlink ref="G83" r:id="rId125" display="mailto:sibl.hospital@siblbd.com"/>
    <hyperlink ref="F84" r:id="rId126" display="http://www.squarehospital.com/"/>
    <hyperlink ref="G84" r:id="rId127" display="mailto:info@squarehospital.com"/>
    <hyperlink ref="G85" r:id="rId128" display="mailto:tangailclinicandhospital@gmail.com"/>
    <hyperlink ref="F86" r:id="rId129" display="https://trin.healthcare/"/>
    <hyperlink ref="F87" r:id="rId130" display="https://www.uhlbd.com/"/>
    <hyperlink ref="G87" r:id="rId131" display="mailto:info@uhlbd.com"/>
    <hyperlink ref="F88" r:id="rId132" display="https://www.uchbd.com/"/>
    <hyperlink ref="F89" r:id="rId133" display="https://www.astha.ambitioussoftwares.com/"/>
    <hyperlink ref="G89" r:id="rId134" display="mailto:asthapsy@gmail.com"/>
    <hyperlink ref="F90" r:id="rId135"/>
    <hyperlink ref="G90" r:id="rId136" display="mailto:aacholfoundation@gmail.com"/>
    <hyperlink ref="F91" r:id="rId137" display="https://sajidafoundation.org/"/>
    <hyperlink ref="G91" r:id="rId138" display="mailto:mental.health@sajida.org"/>
    <hyperlink ref="F92" r:id="rId139" display="https://wevolvebd.org/"/>
    <hyperlink ref="G92" r:id="rId140" display="mailto:info@wevolvebd.org"/>
    <hyperlink ref="F93" r:id="rId141" display="http://www.beaconpointbd.com/"/>
    <hyperlink ref="G93" r:id="rId142" display="mailto:info@beaconpointbd.com"/>
    <hyperlink ref="F94" r:id="rId143"/>
    <hyperlink ref="G94" r:id="rId144" display="mailto:info@empathy.com.bd"/>
    <hyperlink ref="F95" r:id="rId145" display="http://www.beaconpointbd.com/"/>
    <hyperlink ref="G95" r:id="rId146" display="mailto:info@beaconpointbd.com"/>
    <hyperlink ref="G97" r:id="rId147" display="mailto:innerforce.bd2000@gmail.com"/>
    <hyperlink ref="F98" r:id="rId148" display="mailto:freedomwithin247@gmail.com"/>
    <hyperlink ref="G98" r:id="rId149" display="mailto:freedomwithin247@gmail.com"/>
    <hyperlink ref="F99" r:id="rId150" display="https://www.crp-bangladesh.org/"/>
    <hyperlink ref="G99" r:id="rId151" display="mailto:info@crp-bangladesh.org"/>
    <hyperlink ref="F100" r:id="rId152" display="https://www.icddrb.org/"/>
    <hyperlink ref="F101" r:id="rId153" display="http://www.cmc.gov.bd/"/>
    <hyperlink ref="G101" r:id="rId154" display="mailto:cmch@hospi.dghs.gov.bd"/>
    <hyperlink ref="F102" r:id="rId155" display="http://www.cmc.gov.bd/"/>
    <hyperlink ref="G102" r:id="rId156" display="mailto:cmch@hospi.dghs.gov.bd"/>
    <hyperlink ref="G103" r:id="rId157" display="mailto:cmtch@yahoo.com"/>
    <hyperlink ref="F104" r:id="rId158" display="http://www.comh.gov.bd/"/>
    <hyperlink ref="G104" r:id="rId159" display="mailto:comch@hospi.dghs.gov.bd"/>
    <hyperlink ref="F105" r:id="rId160" display="http://www.comh.gov.bd/"/>
    <hyperlink ref="G105" r:id="rId161" display="mailto:comch@hospi.dghs.gov.bd"/>
    <hyperlink ref="G106" r:id="rId162" display="mailto:coxmc@ac.dghs.gov.bd"/>
    <hyperlink ref="F108" r:id="rId163" display="http://www.rangamatimc.edu.bd/"/>
    <hyperlink ref="G108" r:id="rId164" display="mailto:rangamatimc@ac.dghs.gov.bd"/>
    <hyperlink ref="F109" r:id="rId165" display="http://www.rangamatimc.edu.bd/"/>
    <hyperlink ref="F110" r:id="rId166" display="mailto:nmc@ac.dghs.gov.bd"/>
    <hyperlink ref="G110" r:id="rId167" display="mailto:nmc@ac.dghs.gov.bd"/>
    <hyperlink ref="F112" r:id="rId168" display="http://www.amccomilla.edu.bd/"/>
    <hyperlink ref="G112" r:id="rId169" display="mailto:amccomilla2015@gmail.com"/>
    <hyperlink ref="F113" r:id="rId170" display="http://www.cmoshbd.org/"/>
    <hyperlink ref="G113" r:id="rId171" display="mailto:cmoshctg@gmail.com"/>
    <hyperlink ref="F114" r:id="rId172" display="http://www.cmoshbd.org/"/>
    <hyperlink ref="G114" r:id="rId173" display="mailto:cmoshctg@gmail.com"/>
    <hyperlink ref="F115" r:id="rId174" display="http://www.ustc.ac.bd/"/>
    <hyperlink ref="G115" r:id="rId175" display="mailto:ctg@gmail.com"/>
    <hyperlink ref="F116" r:id="rId176" display="http://epicl.com/"/>
    <hyperlink ref="F122" r:id="rId177" display="http://www.primehospitalltd.com/"/>
    <hyperlink ref="G122" r:id="rId178" display="mailto:primehospital12@gmail.com"/>
    <hyperlink ref="G123" r:id="rId179" display="mailto:zamansbari@gmail.com"/>
    <hyperlink ref="F124" r:id="rId180" display="http://www.moonhospital.org/"/>
    <hyperlink ref="G126" r:id="rId181" display="mailto:navanahospitalpvt@gmail.com"/>
    <hyperlink ref="F129" r:id="rId182" display="http://www.labaidgroup.com/"/>
    <hyperlink ref="G129" r:id="rId183" display="mailto:alamin@labaidgroup.com"/>
    <hyperlink ref="G131" r:id="rId184" display="mailto:mripointcumilla@gmail.com"/>
    <hyperlink ref="F134" r:id="rId185" display="http://www.emccomilla.com/"/>
    <hyperlink ref="F135" r:id="rId186" display="http://www.mmmch.edu.bd/"/>
    <hyperlink ref="G135" r:id="rId187" display="mailto:mainamotimedicalcollege@yahoo.com"/>
    <hyperlink ref="F136" r:id="rId188" display="http://www.technicalassistance.com/"/>
    <hyperlink ref="G136" r:id="rId189" display="mailto:sayeed@techai.com"/>
    <hyperlink ref="F137" r:id="rId190" display="http://www.actionagainsthunger.org/"/>
    <hyperlink ref="F138" r:id="rId191" display="http://www.msf.org/"/>
    <hyperlink ref="F139" r:id="rId192" display="http://www.iom.int/"/>
    <hyperlink ref="F140" r:id="rId193"/>
    <hyperlink ref="G140" r:id="rId194" display="mailto:rmch@hosh.dghs.gov.bd"/>
    <hyperlink ref="F141" r:id="rId195"/>
    <hyperlink ref="G141" r:id="rId196" display="mailto:rmch@hosh.dghs.gov.bd"/>
    <hyperlink ref="F142" r:id="rId197"/>
    <hyperlink ref="G142" r:id="rId198" display="mailto:raj_sbk@yahoo.com"/>
    <hyperlink ref="F143" r:id="rId199"/>
    <hyperlink ref="G143" r:id="rId200" display="mailto:smmamch@hospi.dghs.gov.bd"/>
    <hyperlink ref="F144" r:id="rId201"/>
    <hyperlink ref="G144" r:id="rId202" display="mailto:sbk.sirajni@gmail.com"/>
    <hyperlink ref="F145" r:id="rId203"/>
    <hyperlink ref="F146" r:id="rId204"/>
    <hyperlink ref="G146" r:id="rId205" display="mailto:sbkbogras@gmail.com"/>
    <hyperlink ref="G147" r:id="rId206" display="mailto:natore@hospi.dghs.gov.bd"/>
    <hyperlink ref="F148" r:id="rId207"/>
    <hyperlink ref="F149" r:id="rId208"/>
    <hyperlink ref="G150" r:id="rId209" display="mailto:mhcrc2021@gmail.com"/>
    <hyperlink ref="G151" r:id="rId210" display="mailto:mhc@ru.ac.bd"/>
    <hyperlink ref="F159" r:id="rId211"/>
    <hyperlink ref="F160" r:id="rId212" display="http://www.pasil.com.bd/"/>
    <hyperlink ref="F161" r:id="rId213"/>
    <hyperlink ref="G162" r:id="rId214" display="mailto:monaeral77@gmail.com"/>
    <hyperlink ref="G163" r:id="rId215" display="mailto:aponuvbon75@gmail.com"/>
    <hyperlink ref="F164" r:id="rId216" display="http://www.creasociety.org/"/>
    <hyperlink ref="G164" r:id="rId217" display="mailto:info@creasociety.org"/>
    <hyperlink ref="G165" r:id="rId218" display="mailto:burhannp@gmail.com"/>
    <hyperlink ref="F166" r:id="rId219"/>
    <hyperlink ref="F167" r:id="rId220" display="mailto:fairhealth.cc@gmail.com"/>
    <hyperlink ref="G167" r:id="rId221" display="mailto:fairhealth.dcc@gmail.com"/>
    <hyperlink ref="F168" r:id="rId222" display="mailto:bs.snc64@gmail.com"/>
    <hyperlink ref="G168" r:id="rId223" display="mailto:bs.snc64@gmail.com"/>
    <hyperlink ref="F169" r:id="rId224"/>
    <hyperlink ref="F170" r:id="rId225" display="http://www.labaid.com.bd/"/>
    <hyperlink ref="G170" r:id="rId226" display="mailto:rajshahi@labaidgroup.com"/>
    <hyperlink ref="F171" r:id="rId227" display="http://www.padmaclinic.net/"/>
    <hyperlink ref="G172" r:id="rId228" display="mailto:ibchnaogaonltd@gmail.com"/>
    <hyperlink ref="G174" r:id="rId229" display="mailto:jobayer9999@gmail.com"/>
    <hyperlink ref="F176" r:id="rId230" display="http://www.populardiagnostic.com/"/>
    <hyperlink ref="G176" r:id="rId231" display="mailto:popularrajshahibranch@gmail.com"/>
    <hyperlink ref="F177" r:id="rId232"/>
    <hyperlink ref="G177" r:id="rId233" display="mailto:sbmc@ac.dghs.gov.bd"/>
    <hyperlink ref="G178" r:id="rId234" display="mailto:sbkbarisalmch@gmail.com"/>
    <hyperlink ref="F180" r:id="rId235"/>
    <hyperlink ref="G180" r:id="rId236" display="mailto:patuakhalimc@ac.dghs.gov.bd"/>
    <hyperlink ref="G181" r:id="rId237" display="mailto:patuakhalimc@ac.dghs.gov.bd"/>
    <hyperlink ref="F183" r:id="rId238"/>
    <hyperlink ref="G183" r:id="rId239" display="mailto:info@populardiagnostic.com"/>
    <hyperlink ref="G184" r:id="rId240" display="mailto:srabonbari2@gmail.com"/>
    <hyperlink ref="F185" r:id="rId241"/>
    <hyperlink ref="G185" r:id="rId242" display="mailto:holycare@gmail.com"/>
    <hyperlink ref="G186" r:id="rId243" display="mailto:newlifebsl@yahoo.com"/>
    <hyperlink ref="G188" r:id="rId244" display="mailto:rangmch@hospi.dghs.gov.bd"/>
    <hyperlink ref="F189" r:id="rId245" display="http://www.mspvaw.bd.com/"/>
    <hyperlink ref="F191" r:id="rId246" display="http://www.mspvaw.bd.com/"/>
    <hyperlink ref="G194" r:id="rId247" display="mailto:sbkdinajpur@gmail.com"/>
    <hyperlink ref="G196" r:id="rId248" display="mailto:nilphamari-govt.sbk@gmail.com"/>
    <hyperlink ref="F197" r:id="rId249" display="http://www.pssk.rangpur.gov.bd/"/>
    <hyperlink ref="G197" r:id="rId250" display="mailto:rangpurpsok@gmail.com"/>
    <hyperlink ref="G198" r:id="rId251" display="mailto:gaibandhapsok@gmail.com"/>
    <hyperlink ref="G199" r:id="rId252" display="mailto:dinajpurpsok@gmail.com"/>
    <hyperlink ref="G201" r:id="rId253" display="mailto:kurigramsodorpsok@gmail.com"/>
    <hyperlink ref="F205" r:id="rId254"/>
    <hyperlink ref="G205" r:id="rId255" display="mailto:ccr_rangpur@yahoo.com"/>
    <hyperlink ref="F206" r:id="rId256" display="http://cpscr.edu.bd/"/>
    <hyperlink ref="F207" r:id="rId257"/>
    <hyperlink ref="G218" r:id="rId258" display="mailto:mdcareservice2021@gmail.com"/>
    <hyperlink ref="F237" r:id="rId259" display="http://www.magosmanimedical.com/"/>
    <hyperlink ref="G237" r:id="rId260" display="mailto:magomch@hospi.dghs.gov.bd"/>
    <hyperlink ref="F239" r:id="rId261" display="http://www.magosmanimedical.com/"/>
    <hyperlink ref="G239" r:id="rId262" display="mailto:sbk_sylhet_mch@yahoo.com"/>
    <hyperlink ref="F240" r:id="rId263" display="http://www.msw.gov.bd/"/>
    <hyperlink ref="F241" r:id="rId264" display="http://www.msw.gov.bd/"/>
    <hyperlink ref="F242" r:id="rId265" display="http://www.sust.edu/"/>
    <hyperlink ref="G242" r:id="rId266" display="mailto:csg@sust.edu"/>
    <hyperlink ref="G243" r:id="rId267" display="mailto:jrrmc@btsnet.net"/>
    <hyperlink ref="F244" r:id="rId268" display="http://www.nemc.edu.bd/"/>
    <hyperlink ref="F245" r:id="rId269" display="http://www.swmc.edu.bd/"/>
    <hyperlink ref="G245" r:id="rId270" display="mailto:info@swmc.edu.bd"/>
    <hyperlink ref="F246" r:id="rId271" display="http://www.pmhc.edu.bd/"/>
    <hyperlink ref="G246" r:id="rId272" display="mailto:pmcsylhet2013@gmail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orbit tech</cp:lastModifiedBy>
  <dcterms:created xsi:type="dcterms:W3CDTF">2026-04-02T03:46:45Z</dcterms:created>
  <dcterms:modified xsi:type="dcterms:W3CDTF">2026-04-02T19:42:08Z</dcterms:modified>
</cp:coreProperties>
</file>